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9.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Questa_cartella_di_lavoro" defaultThemeVersion="202300"/>
  <mc:AlternateContent xmlns:mc="http://schemas.openxmlformats.org/markup-compatibility/2006">
    <mc:Choice Requires="x15">
      <x15ac:absPath xmlns:x15ac="http://schemas.microsoft.com/office/spreadsheetml/2010/11/ac" url="https://mavriqgroup-my.sharepoint.com/personal/marco_cadau_mavriq_com/Documents/Desktop/"/>
    </mc:Choice>
  </mc:AlternateContent>
  <xr:revisionPtr revIDLastSave="25" documentId="8_{CB0C5CC5-FAB9-4592-981B-6A3EFD55554B}" xr6:coauthVersionLast="47" xr6:coauthVersionMax="47" xr10:uidLastSave="{1F5FD0D5-5F3C-463F-8BBA-6B1356582C73}"/>
  <bookViews>
    <workbookView xWindow="-120" yWindow="-120" windowWidth="29040" windowHeight="15720" activeTab="5" xr2:uid="{528CC711-4DAA-4303-8500-FA3F7726AFE7}"/>
  </bookViews>
  <sheets>
    <sheet name="Indice" sheetId="11" r:id="rId1"/>
    <sheet name="Parameters" sheetId="1" r:id="rId2"/>
    <sheet name="Data" sheetId="3" r:id="rId3"/>
    <sheet name="Sample_filter" sheetId="8" r:id="rId4"/>
    <sheet name="Sample_if" sheetId="4" r:id="rId5"/>
    <sheet name="Statistical Insight" sheetId="5" r:id="rId6"/>
    <sheet name="(Un)correlated Variables" sheetId="6" r:id="rId7"/>
    <sheet name="Linear Regression" sheetId="7" r:id="rId8"/>
    <sheet name="Note di utilizzo" sheetId="12" r:id="rId9"/>
    <sheet name="Annotazioni statistiche" sheetId="9" state="hidden" r:id="rId10"/>
  </sheets>
  <definedNames>
    <definedName name="_xlnm._FilterDatabase" localSheetId="6" hidden="1">'(Un)correlated Variables'!$A$1:$G$67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7" l="1"/>
  <c r="E19" i="7"/>
  <c r="B9" i="5" a="1"/>
  <c r="B9" i="5" s="1"/>
  <c r="B2" i="4"/>
  <c r="F38" i="6" l="1"/>
  <c r="F20" i="6"/>
  <c r="F2" i="6"/>
  <c r="B2" i="5"/>
  <c r="J2" i="5"/>
  <c r="D2" i="5"/>
  <c r="E2" i="5" s="1"/>
  <c r="C2" i="4"/>
  <c r="B3" i="4"/>
  <c r="C3" i="4" s="1"/>
  <c r="B4" i="4"/>
  <c r="C4" i="4" s="1"/>
  <c r="B5" i="4"/>
  <c r="C5" i="4" s="1"/>
  <c r="B6" i="4"/>
  <c r="C6" i="4" s="1"/>
  <c r="B7" i="4"/>
  <c r="C7" i="4" s="1"/>
  <c r="B8" i="4"/>
  <c r="C8" i="4" s="1"/>
  <c r="B9" i="4"/>
  <c r="C9" i="4" s="1"/>
  <c r="B10" i="4"/>
  <c r="C10" i="4" s="1"/>
  <c r="B11" i="4"/>
  <c r="C11" i="4" s="1"/>
  <c r="B12" i="4"/>
  <c r="C12" i="4" s="1"/>
  <c r="B13" i="4"/>
  <c r="C13" i="4" s="1"/>
  <c r="B14" i="4"/>
  <c r="C14" i="4" s="1"/>
  <c r="B15" i="4"/>
  <c r="B16" i="4"/>
  <c r="C16" i="4" s="1"/>
  <c r="B17" i="4"/>
  <c r="C17" i="4" s="1"/>
  <c r="B18" i="4"/>
  <c r="C18" i="4" s="1"/>
  <c r="B19" i="4"/>
  <c r="C19" i="4" s="1"/>
  <c r="B20" i="4"/>
  <c r="B21" i="4"/>
  <c r="C21" i="4" s="1"/>
  <c r="B22" i="4"/>
  <c r="C22" i="4" s="1"/>
  <c r="B23" i="4"/>
  <c r="B24" i="4"/>
  <c r="C24" i="4" s="1"/>
  <c r="B25" i="4"/>
  <c r="C25" i="4" s="1"/>
  <c r="B26" i="4"/>
  <c r="C26" i="4" s="1"/>
  <c r="B27" i="4"/>
  <c r="C27" i="4" s="1"/>
  <c r="B28" i="4"/>
  <c r="C28" i="4" s="1"/>
  <c r="B29" i="4"/>
  <c r="C29" i="4" s="1"/>
  <c r="B30" i="4"/>
  <c r="C30" i="4" s="1"/>
  <c r="B31" i="4"/>
  <c r="C31" i="4" s="1"/>
  <c r="B32" i="4"/>
  <c r="C32" i="4" s="1"/>
  <c r="B33" i="4"/>
  <c r="C33" i="4" s="1"/>
  <c r="B34" i="4"/>
  <c r="C34" i="4" s="1"/>
  <c r="B35" i="4"/>
  <c r="C35" i="4" s="1"/>
  <c r="B36" i="4"/>
  <c r="C36" i="4" s="1"/>
  <c r="B37" i="4"/>
  <c r="C37" i="4" s="1"/>
  <c r="B38" i="4"/>
  <c r="C38" i="4" s="1"/>
  <c r="B39" i="4"/>
  <c r="B40" i="4"/>
  <c r="B41" i="4"/>
  <c r="B42" i="4"/>
  <c r="C42" i="4" s="1"/>
  <c r="B43" i="4"/>
  <c r="C43" i="4" s="1"/>
  <c r="B44" i="4"/>
  <c r="C44" i="4" s="1"/>
  <c r="B45" i="4"/>
  <c r="C45" i="4" s="1"/>
  <c r="B46" i="4"/>
  <c r="C46" i="4" s="1"/>
  <c r="B47" i="4"/>
  <c r="B48" i="4"/>
  <c r="C48" i="4" s="1"/>
  <c r="B49" i="4"/>
  <c r="C49" i="4" s="1"/>
  <c r="B50" i="4"/>
  <c r="C50" i="4" s="1"/>
  <c r="B51" i="4"/>
  <c r="C51" i="4" s="1"/>
  <c r="B52" i="4"/>
  <c r="B53" i="4"/>
  <c r="C53" i="4" s="1"/>
  <c r="B54" i="4"/>
  <c r="C54" i="4" s="1"/>
  <c r="B55" i="4"/>
  <c r="B56" i="4"/>
  <c r="C56" i="4" s="1"/>
  <c r="B57" i="4"/>
  <c r="C57" i="4" s="1"/>
  <c r="B58" i="4"/>
  <c r="C58" i="4" s="1"/>
  <c r="B59" i="4"/>
  <c r="C59" i="4" s="1"/>
  <c r="B60" i="4"/>
  <c r="C60" i="4" s="1"/>
  <c r="B61" i="4"/>
  <c r="C61" i="4" s="1"/>
  <c r="B62" i="4"/>
  <c r="C62" i="4" s="1"/>
  <c r="B63" i="4"/>
  <c r="B64" i="4"/>
  <c r="C64" i="4" s="1"/>
  <c r="B65" i="4"/>
  <c r="C65" i="4" s="1"/>
  <c r="B66" i="4"/>
  <c r="C66" i="4" s="1"/>
  <c r="B67" i="4"/>
  <c r="C67" i="4" s="1"/>
  <c r="B68" i="4"/>
  <c r="C68" i="4" s="1"/>
  <c r="B69" i="4"/>
  <c r="C69" i="4" s="1"/>
  <c r="B70" i="4"/>
  <c r="C70" i="4" s="1"/>
  <c r="B71" i="4"/>
  <c r="C71" i="4" s="1"/>
  <c r="B72" i="4"/>
  <c r="B73" i="4"/>
  <c r="B74" i="4"/>
  <c r="C74" i="4" s="1"/>
  <c r="B75" i="4"/>
  <c r="C75" i="4" s="1"/>
  <c r="B76" i="4"/>
  <c r="C76" i="4" s="1"/>
  <c r="B77" i="4"/>
  <c r="B78" i="4"/>
  <c r="C78" i="4" s="1"/>
  <c r="B79" i="4"/>
  <c r="C79" i="4" s="1"/>
  <c r="B80" i="4"/>
  <c r="B81" i="4"/>
  <c r="C81" i="4" s="1"/>
  <c r="B82" i="4"/>
  <c r="C82" i="4" s="1"/>
  <c r="B83" i="4"/>
  <c r="C83" i="4" s="1"/>
  <c r="B84" i="4"/>
  <c r="B85" i="4"/>
  <c r="C85" i="4" s="1"/>
  <c r="B86" i="4"/>
  <c r="B87" i="4"/>
  <c r="C87" i="4" s="1"/>
  <c r="B88" i="4"/>
  <c r="C88" i="4" s="1"/>
  <c r="B89" i="4"/>
  <c r="C89" i="4" s="1"/>
  <c r="B90" i="4"/>
  <c r="C90" i="4" s="1"/>
  <c r="B91" i="4"/>
  <c r="C91" i="4" s="1"/>
  <c r="B92" i="4"/>
  <c r="C92" i="4" s="1"/>
  <c r="B93" i="4"/>
  <c r="C93" i="4" s="1"/>
  <c r="B94" i="4"/>
  <c r="B95" i="4"/>
  <c r="B96" i="4"/>
  <c r="C96" i="4" s="1"/>
  <c r="B97" i="4"/>
  <c r="C97" i="4" s="1"/>
  <c r="B98" i="4"/>
  <c r="C98" i="4" s="1"/>
  <c r="B99" i="4"/>
  <c r="B100" i="4"/>
  <c r="B101" i="4"/>
  <c r="B102" i="4"/>
  <c r="C102" i="4" s="1"/>
  <c r="B103" i="4"/>
  <c r="B104" i="4"/>
  <c r="C104" i="4" s="1"/>
  <c r="B105" i="4"/>
  <c r="C105" i="4" s="1"/>
  <c r="B106" i="4"/>
  <c r="C106" i="4" s="1"/>
  <c r="B107" i="4"/>
  <c r="C107" i="4" s="1"/>
  <c r="B108" i="4"/>
  <c r="B109" i="4"/>
  <c r="B110" i="4"/>
  <c r="C110" i="4" s="1"/>
  <c r="B111" i="4"/>
  <c r="C111" i="4" s="1"/>
  <c r="B112" i="4"/>
  <c r="B113" i="4"/>
  <c r="C113" i="4" s="1"/>
  <c r="B114" i="4"/>
  <c r="B115" i="4"/>
  <c r="C115" i="4" s="1"/>
  <c r="B116" i="4"/>
  <c r="C116" i="4" s="1"/>
  <c r="B117" i="4"/>
  <c r="C117" i="4" s="1"/>
  <c r="B118" i="4"/>
  <c r="C118" i="4" s="1"/>
  <c r="B119" i="4"/>
  <c r="C119" i="4" s="1"/>
  <c r="B120" i="4"/>
  <c r="C120" i="4" s="1"/>
  <c r="B121" i="4"/>
  <c r="C121" i="4" s="1"/>
  <c r="B122" i="4"/>
  <c r="B123" i="4"/>
  <c r="C123" i="4" s="1"/>
  <c r="B124" i="4"/>
  <c r="C124" i="4" s="1"/>
  <c r="B125" i="4"/>
  <c r="B126" i="4"/>
  <c r="C126" i="4" s="1"/>
  <c r="B127" i="4"/>
  <c r="C127" i="4" s="1"/>
  <c r="B128" i="4"/>
  <c r="B129" i="4"/>
  <c r="C129" i="4" s="1"/>
  <c r="B130" i="4"/>
  <c r="C130" i="4" s="1"/>
  <c r="B131" i="4"/>
  <c r="C131" i="4" s="1"/>
  <c r="B132" i="4"/>
  <c r="C132" i="4" s="1"/>
  <c r="B133" i="4"/>
  <c r="C133" i="4" s="1"/>
  <c r="B134" i="4"/>
  <c r="B135" i="4"/>
  <c r="C135" i="4" s="1"/>
  <c r="B136" i="4"/>
  <c r="C136" i="4" s="1"/>
  <c r="B137" i="4"/>
  <c r="C137" i="4" s="1"/>
  <c r="B138" i="4"/>
  <c r="B139" i="4"/>
  <c r="C139" i="4" s="1"/>
  <c r="B140" i="4"/>
  <c r="C140" i="4" s="1"/>
  <c r="B141" i="4"/>
  <c r="B142" i="4"/>
  <c r="C142" i="4" s="1"/>
  <c r="B143" i="4"/>
  <c r="C143" i="4" s="1"/>
  <c r="B144" i="4"/>
  <c r="C144" i="4" s="1"/>
  <c r="B145" i="4"/>
  <c r="C145" i="4" s="1"/>
  <c r="B146" i="4"/>
  <c r="C146" i="4" s="1"/>
  <c r="B147" i="4"/>
  <c r="B148" i="4"/>
  <c r="C148" i="4" s="1"/>
  <c r="B149" i="4"/>
  <c r="C149" i="4" s="1"/>
  <c r="B150" i="4"/>
  <c r="B151" i="4"/>
  <c r="B152" i="4"/>
  <c r="B153" i="4"/>
  <c r="C153" i="4" s="1"/>
  <c r="B154" i="4"/>
  <c r="C154" i="4" s="1"/>
  <c r="B155" i="4"/>
  <c r="B156" i="4"/>
  <c r="C156" i="4" s="1"/>
  <c r="B157" i="4"/>
  <c r="B158" i="4"/>
  <c r="B159" i="4"/>
  <c r="C159" i="4" s="1"/>
  <c r="B160" i="4"/>
  <c r="C160" i="4" s="1"/>
  <c r="B161" i="4"/>
  <c r="C161" i="4" s="1"/>
  <c r="B162" i="4"/>
  <c r="C162" i="4" s="1"/>
  <c r="B163" i="4"/>
  <c r="C163" i="4" s="1"/>
  <c r="B164" i="4"/>
  <c r="C164" i="4" s="1"/>
  <c r="B165" i="4"/>
  <c r="B166" i="4"/>
  <c r="C166" i="4" s="1"/>
  <c r="B167" i="4"/>
  <c r="C167" i="4" s="1"/>
  <c r="B168" i="4"/>
  <c r="C168" i="4" s="1"/>
  <c r="B169" i="4"/>
  <c r="C169" i="4" s="1"/>
  <c r="B170" i="4"/>
  <c r="C170" i="4" s="1"/>
  <c r="B171" i="4"/>
  <c r="C171" i="4" s="1"/>
  <c r="B172" i="4"/>
  <c r="B173" i="4"/>
  <c r="C173" i="4" s="1"/>
  <c r="B174" i="4"/>
  <c r="C174" i="4" s="1"/>
  <c r="B175" i="4"/>
  <c r="B176" i="4"/>
  <c r="C176" i="4" s="1"/>
  <c r="B177" i="4"/>
  <c r="C177" i="4" s="1"/>
  <c r="B178" i="4"/>
  <c r="C178" i="4" s="1"/>
  <c r="B179" i="4"/>
  <c r="B180" i="4"/>
  <c r="C180" i="4" s="1"/>
  <c r="B181" i="4"/>
  <c r="C181" i="4" s="1"/>
  <c r="B182" i="4"/>
  <c r="C182" i="4" s="1"/>
  <c r="B183" i="4"/>
  <c r="C183" i="4" s="1"/>
  <c r="B184" i="4"/>
  <c r="B185" i="4"/>
  <c r="C185" i="4" s="1"/>
  <c r="B186" i="4"/>
  <c r="C186" i="4" s="1"/>
  <c r="B187" i="4"/>
  <c r="C187" i="4" s="1"/>
  <c r="B188" i="4"/>
  <c r="C188" i="4" s="1"/>
  <c r="B189" i="4"/>
  <c r="C189" i="4" s="1"/>
  <c r="B190" i="4"/>
  <c r="C190" i="4" s="1"/>
  <c r="B191" i="4"/>
  <c r="C191" i="4" s="1"/>
  <c r="B192" i="4"/>
  <c r="C192" i="4" s="1"/>
  <c r="B193" i="4"/>
  <c r="B194" i="4"/>
  <c r="C194" i="4" s="1"/>
  <c r="B195" i="4"/>
  <c r="B196" i="4"/>
  <c r="B197" i="4"/>
  <c r="C197" i="4" s="1"/>
  <c r="B198" i="4"/>
  <c r="B199" i="4"/>
  <c r="C199" i="4" s="1"/>
  <c r="B200" i="4"/>
  <c r="B201" i="4"/>
  <c r="C201" i="4" s="1"/>
  <c r="B202" i="4"/>
  <c r="C202" i="4" s="1"/>
  <c r="B203" i="4"/>
  <c r="B204" i="4"/>
  <c r="C204" i="4" s="1"/>
  <c r="B205" i="4"/>
  <c r="B206" i="4"/>
  <c r="C206" i="4" s="1"/>
  <c r="B207" i="4"/>
  <c r="C207" i="4" s="1"/>
  <c r="B208" i="4"/>
  <c r="C208" i="4" s="1"/>
  <c r="B209" i="4"/>
  <c r="B210" i="4"/>
  <c r="B211" i="4"/>
  <c r="C211" i="4" s="1"/>
  <c r="B212" i="4"/>
  <c r="C212" i="4" s="1"/>
  <c r="B213" i="4"/>
  <c r="C213" i="4" s="1"/>
  <c r="B214" i="4"/>
  <c r="C214" i="4" s="1"/>
  <c r="B215" i="4"/>
  <c r="B216" i="4"/>
  <c r="C216" i="4" s="1"/>
  <c r="B217" i="4"/>
  <c r="C217" i="4" s="1"/>
  <c r="B218" i="4"/>
  <c r="C218" i="4" s="1"/>
  <c r="B219" i="4"/>
  <c r="C219" i="4" s="1"/>
  <c r="B220" i="4"/>
  <c r="B221" i="4"/>
  <c r="C221" i="4" s="1"/>
  <c r="B222" i="4"/>
  <c r="C222" i="4" s="1"/>
  <c r="B223" i="4"/>
  <c r="C223" i="4" s="1"/>
  <c r="B224" i="4"/>
  <c r="B225" i="4"/>
  <c r="C225" i="4" s="1"/>
  <c r="B226" i="4"/>
  <c r="C226" i="4" s="1"/>
  <c r="B227" i="4"/>
  <c r="C227" i="4" s="1"/>
  <c r="B228" i="4"/>
  <c r="C228" i="4" s="1"/>
  <c r="B229" i="4"/>
  <c r="B230" i="4"/>
  <c r="B231" i="4"/>
  <c r="C231" i="4" s="1"/>
  <c r="B232" i="4"/>
  <c r="B233" i="4"/>
  <c r="B234" i="4"/>
  <c r="B235" i="4"/>
  <c r="C235" i="4" s="1"/>
  <c r="B236" i="4"/>
  <c r="C236" i="4" s="1"/>
  <c r="B237" i="4"/>
  <c r="C237" i="4" s="1"/>
  <c r="B238" i="4"/>
  <c r="C238" i="4" s="1"/>
  <c r="B239" i="4"/>
  <c r="C239" i="4" s="1"/>
  <c r="B240" i="4"/>
  <c r="C240" i="4" s="1"/>
  <c r="B241" i="4"/>
  <c r="C241" i="4" s="1"/>
  <c r="B242" i="4"/>
  <c r="B243" i="4"/>
  <c r="B244" i="4"/>
  <c r="B245" i="4"/>
  <c r="B246" i="4"/>
  <c r="C246" i="4" s="1"/>
  <c r="B247" i="4"/>
  <c r="B248" i="4"/>
  <c r="C248" i="4" s="1"/>
  <c r="B249" i="4"/>
  <c r="C249" i="4" s="1"/>
  <c r="B250" i="4"/>
  <c r="B251" i="4"/>
  <c r="C251" i="4" s="1"/>
  <c r="A3" i="3" l="1"/>
  <c r="A3" i="4" s="1"/>
  <c r="A4" i="3"/>
  <c r="A4" i="4" s="1"/>
  <c r="A5" i="3"/>
  <c r="A6" i="3"/>
  <c r="A6" i="4" s="1"/>
  <c r="A7" i="3"/>
  <c r="A7" i="4" s="1"/>
  <c r="A8" i="3"/>
  <c r="A8" i="4" s="1"/>
  <c r="A9" i="3"/>
  <c r="A9" i="4" s="1"/>
  <c r="A10" i="3"/>
  <c r="A10" i="4" s="1"/>
  <c r="A11" i="3"/>
  <c r="A11" i="4" s="1"/>
  <c r="A12" i="3"/>
  <c r="A12" i="4" s="1"/>
  <c r="A13" i="3"/>
  <c r="A13" i="4" s="1"/>
  <c r="A14" i="3"/>
  <c r="A14" i="4" s="1"/>
  <c r="A15" i="3"/>
  <c r="A16" i="3"/>
  <c r="A16" i="4" s="1"/>
  <c r="A17" i="3"/>
  <c r="A17" i="4" s="1"/>
  <c r="A18" i="3"/>
  <c r="A18" i="4" s="1"/>
  <c r="A19" i="3"/>
  <c r="A19" i="4" s="1"/>
  <c r="A20" i="3"/>
  <c r="A20" i="4" s="1"/>
  <c r="C20" i="4" s="1"/>
  <c r="A21" i="3"/>
  <c r="A21" i="4" s="1"/>
  <c r="A22" i="3"/>
  <c r="A22" i="4" s="1"/>
  <c r="A23" i="3"/>
  <c r="A23" i="4" s="1"/>
  <c r="C23" i="4" s="1"/>
  <c r="A24" i="3"/>
  <c r="A24" i="4" s="1"/>
  <c r="A25" i="3"/>
  <c r="A25" i="4" s="1"/>
  <c r="A26" i="3"/>
  <c r="A26" i="4" s="1"/>
  <c r="A27" i="3"/>
  <c r="A27" i="4" s="1"/>
  <c r="A28" i="3"/>
  <c r="A28" i="4" s="1"/>
  <c r="A29" i="3"/>
  <c r="A29" i="4" s="1"/>
  <c r="A30" i="3"/>
  <c r="A30" i="4" s="1"/>
  <c r="A31" i="3"/>
  <c r="A31" i="4" s="1"/>
  <c r="A32" i="3"/>
  <c r="A32" i="4" s="1"/>
  <c r="A33" i="3"/>
  <c r="A33" i="4" s="1"/>
  <c r="A34" i="3"/>
  <c r="A34" i="4" s="1"/>
  <c r="A35" i="3"/>
  <c r="A35" i="4" s="1"/>
  <c r="A36" i="3"/>
  <c r="A36" i="4" s="1"/>
  <c r="A37" i="3"/>
  <c r="A37" i="4" s="1"/>
  <c r="A38" i="3"/>
  <c r="A38" i="4" s="1"/>
  <c r="A39" i="3"/>
  <c r="A39" i="4" s="1"/>
  <c r="C39" i="4" s="1"/>
  <c r="A40" i="3"/>
  <c r="A40" i="4" s="1"/>
  <c r="C40" i="4" s="1"/>
  <c r="A41" i="3"/>
  <c r="A41" i="4" s="1"/>
  <c r="C41" i="4" s="1"/>
  <c r="A42" i="3"/>
  <c r="A42" i="4" s="1"/>
  <c r="A43" i="3"/>
  <c r="A43" i="4" s="1"/>
  <c r="A44" i="3"/>
  <c r="A44" i="4" s="1"/>
  <c r="A45" i="3"/>
  <c r="A45" i="4" s="1"/>
  <c r="A46" i="3"/>
  <c r="A46" i="4" s="1"/>
  <c r="A47" i="3"/>
  <c r="A47" i="4" s="1"/>
  <c r="C47" i="4" s="1"/>
  <c r="A48" i="3"/>
  <c r="A48" i="4" s="1"/>
  <c r="A49" i="3"/>
  <c r="A49" i="4" s="1"/>
  <c r="A50" i="3"/>
  <c r="A50" i="4" s="1"/>
  <c r="A51" i="3"/>
  <c r="A51" i="4" s="1"/>
  <c r="A52" i="3"/>
  <c r="A52" i="4" s="1"/>
  <c r="C52" i="4" s="1"/>
  <c r="A53" i="3"/>
  <c r="A53" i="4" s="1"/>
  <c r="A54" i="3"/>
  <c r="A54" i="4" s="1"/>
  <c r="A55" i="3"/>
  <c r="A55" i="4" s="1"/>
  <c r="C55" i="4" s="1"/>
  <c r="A56" i="3"/>
  <c r="A56" i="4" s="1"/>
  <c r="A57" i="3"/>
  <c r="A57" i="4" s="1"/>
  <c r="A58" i="3"/>
  <c r="A58" i="4" s="1"/>
  <c r="A59" i="3"/>
  <c r="A59" i="4" s="1"/>
  <c r="A60" i="3"/>
  <c r="A60" i="4" s="1"/>
  <c r="A61" i="3"/>
  <c r="A61" i="4" s="1"/>
  <c r="A62" i="3"/>
  <c r="A62" i="4" s="1"/>
  <c r="A63" i="3"/>
  <c r="A63" i="4" s="1"/>
  <c r="C63" i="4" s="1"/>
  <c r="A64" i="3"/>
  <c r="A64" i="4" s="1"/>
  <c r="A65" i="3"/>
  <c r="A65" i="4" s="1"/>
  <c r="A66" i="3"/>
  <c r="A66" i="4" s="1"/>
  <c r="A67" i="3"/>
  <c r="A67" i="4" s="1"/>
  <c r="A68" i="3"/>
  <c r="A68" i="4" s="1"/>
  <c r="A69" i="3"/>
  <c r="A69" i="4" s="1"/>
  <c r="A70" i="3"/>
  <c r="A70" i="4" s="1"/>
  <c r="A71" i="3"/>
  <c r="A71" i="4" s="1"/>
  <c r="A72" i="3"/>
  <c r="A72" i="4" s="1"/>
  <c r="C72" i="4" s="1"/>
  <c r="A73" i="3"/>
  <c r="A73" i="4" s="1"/>
  <c r="C73" i="4" s="1"/>
  <c r="A74" i="3"/>
  <c r="A74" i="4" s="1"/>
  <c r="A75" i="3"/>
  <c r="A75" i="4" s="1"/>
  <c r="A76" i="3"/>
  <c r="A76" i="4" s="1"/>
  <c r="A77" i="3"/>
  <c r="A77" i="4" s="1"/>
  <c r="C77" i="4" s="1"/>
  <c r="A78" i="3"/>
  <c r="A78" i="4" s="1"/>
  <c r="A79" i="3"/>
  <c r="A79" i="4" s="1"/>
  <c r="A80" i="3"/>
  <c r="A80" i="4" s="1"/>
  <c r="C80" i="4" s="1"/>
  <c r="A81" i="3"/>
  <c r="A81" i="4" s="1"/>
  <c r="A82" i="3"/>
  <c r="A82" i="4" s="1"/>
  <c r="A83" i="3"/>
  <c r="A83" i="4" s="1"/>
  <c r="A84" i="3"/>
  <c r="A84" i="4" s="1"/>
  <c r="C84" i="4" s="1"/>
  <c r="A85" i="3"/>
  <c r="A85" i="4" s="1"/>
  <c r="A86" i="3"/>
  <c r="A86" i="4" s="1"/>
  <c r="C86" i="4" s="1"/>
  <c r="A87" i="3"/>
  <c r="A87" i="4" s="1"/>
  <c r="A88" i="3"/>
  <c r="A88" i="4" s="1"/>
  <c r="A89" i="3"/>
  <c r="A89" i="4" s="1"/>
  <c r="A90" i="3"/>
  <c r="A90" i="4" s="1"/>
  <c r="A91" i="3"/>
  <c r="A91" i="4" s="1"/>
  <c r="A92" i="3"/>
  <c r="A92" i="4" s="1"/>
  <c r="A93" i="3"/>
  <c r="A93" i="4" s="1"/>
  <c r="A94" i="3"/>
  <c r="A94" i="4" s="1"/>
  <c r="C94" i="4" s="1"/>
  <c r="A95" i="3"/>
  <c r="A95" i="4" s="1"/>
  <c r="C95" i="4" s="1"/>
  <c r="A96" i="3"/>
  <c r="A96" i="4" s="1"/>
  <c r="A97" i="3"/>
  <c r="A97" i="4" s="1"/>
  <c r="A98" i="3"/>
  <c r="A98" i="4" s="1"/>
  <c r="A99" i="3"/>
  <c r="A99" i="4" s="1"/>
  <c r="C99" i="4" s="1"/>
  <c r="A100" i="3"/>
  <c r="A100" i="4" s="1"/>
  <c r="C100" i="4" s="1"/>
  <c r="A101" i="3"/>
  <c r="A101" i="4" s="1"/>
  <c r="C101" i="4" s="1"/>
  <c r="A102" i="3"/>
  <c r="A102" i="4" s="1"/>
  <c r="A103" i="3"/>
  <c r="A103" i="4" s="1"/>
  <c r="C103" i="4" s="1"/>
  <c r="A104" i="3"/>
  <c r="A104" i="4" s="1"/>
  <c r="A105" i="3"/>
  <c r="A105" i="4" s="1"/>
  <c r="A106" i="3"/>
  <c r="A106" i="4" s="1"/>
  <c r="A107" i="3"/>
  <c r="A107" i="4" s="1"/>
  <c r="A108" i="3"/>
  <c r="A108" i="4" s="1"/>
  <c r="C108" i="4" s="1"/>
  <c r="A109" i="3"/>
  <c r="A109" i="4" s="1"/>
  <c r="C109" i="4" s="1"/>
  <c r="A110" i="3"/>
  <c r="A110" i="4" s="1"/>
  <c r="A111" i="3"/>
  <c r="A111" i="4" s="1"/>
  <c r="A112" i="3"/>
  <c r="A112" i="4" s="1"/>
  <c r="C112" i="4" s="1"/>
  <c r="A113" i="3"/>
  <c r="A113" i="4" s="1"/>
  <c r="A114" i="3"/>
  <c r="A114" i="4" s="1"/>
  <c r="C114" i="4" s="1"/>
  <c r="A115" i="3"/>
  <c r="A115" i="4" s="1"/>
  <c r="A116" i="3"/>
  <c r="A116" i="4" s="1"/>
  <c r="A117" i="3"/>
  <c r="A117" i="4" s="1"/>
  <c r="A118" i="3"/>
  <c r="A118" i="4" s="1"/>
  <c r="A119" i="3"/>
  <c r="A119" i="4" s="1"/>
  <c r="A120" i="3"/>
  <c r="A120" i="4" s="1"/>
  <c r="A121" i="3"/>
  <c r="A121" i="4" s="1"/>
  <c r="A122" i="3"/>
  <c r="A122" i="4" s="1"/>
  <c r="C122" i="4" s="1"/>
  <c r="A123" i="3"/>
  <c r="A123" i="4" s="1"/>
  <c r="A124" i="3"/>
  <c r="A124" i="4" s="1"/>
  <c r="A125" i="3"/>
  <c r="A125" i="4" s="1"/>
  <c r="C125" i="4" s="1"/>
  <c r="A126" i="3"/>
  <c r="A126" i="4" s="1"/>
  <c r="A127" i="3"/>
  <c r="A127" i="4" s="1"/>
  <c r="A128" i="3"/>
  <c r="A128" i="4" s="1"/>
  <c r="C128" i="4" s="1"/>
  <c r="A129" i="3"/>
  <c r="A129" i="4" s="1"/>
  <c r="A130" i="3"/>
  <c r="A130" i="4" s="1"/>
  <c r="A131" i="3"/>
  <c r="A131" i="4" s="1"/>
  <c r="A132" i="3"/>
  <c r="A132" i="4" s="1"/>
  <c r="A133" i="3"/>
  <c r="A133" i="4" s="1"/>
  <c r="A134" i="3"/>
  <c r="A134" i="4" s="1"/>
  <c r="C134" i="4" s="1"/>
  <c r="A135" i="3"/>
  <c r="A135" i="4" s="1"/>
  <c r="A136" i="3"/>
  <c r="A136" i="4" s="1"/>
  <c r="A137" i="3"/>
  <c r="A137" i="4" s="1"/>
  <c r="A138" i="3"/>
  <c r="A138" i="4" s="1"/>
  <c r="C138" i="4" s="1"/>
  <c r="A139" i="3"/>
  <c r="A139" i="4" s="1"/>
  <c r="A140" i="3"/>
  <c r="A140" i="4" s="1"/>
  <c r="A141" i="3"/>
  <c r="A141" i="4" s="1"/>
  <c r="C141" i="4" s="1"/>
  <c r="A142" i="3"/>
  <c r="A142" i="4" s="1"/>
  <c r="A143" i="3"/>
  <c r="A143" i="4" s="1"/>
  <c r="A144" i="3"/>
  <c r="A144" i="4" s="1"/>
  <c r="A145" i="3"/>
  <c r="A145" i="4" s="1"/>
  <c r="A146" i="3"/>
  <c r="A146" i="4" s="1"/>
  <c r="A147" i="3"/>
  <c r="A147" i="4" s="1"/>
  <c r="C147" i="4" s="1"/>
  <c r="A148" i="3"/>
  <c r="A148" i="4" s="1"/>
  <c r="A149" i="3"/>
  <c r="A149" i="4" s="1"/>
  <c r="A150" i="3"/>
  <c r="A150" i="4" s="1"/>
  <c r="C150" i="4" s="1"/>
  <c r="A151" i="3"/>
  <c r="A151" i="4" s="1"/>
  <c r="C151" i="4" s="1"/>
  <c r="A152" i="3"/>
  <c r="A152" i="4" s="1"/>
  <c r="C152" i="4" s="1"/>
  <c r="A153" i="3"/>
  <c r="A153" i="4" s="1"/>
  <c r="A154" i="3"/>
  <c r="A154" i="4" s="1"/>
  <c r="A155" i="3"/>
  <c r="A155" i="4" s="1"/>
  <c r="C155" i="4" s="1"/>
  <c r="A156" i="3"/>
  <c r="A156" i="4" s="1"/>
  <c r="A157" i="3"/>
  <c r="A157" i="4" s="1"/>
  <c r="C157" i="4" s="1"/>
  <c r="A158" i="3"/>
  <c r="A158" i="4" s="1"/>
  <c r="C158" i="4" s="1"/>
  <c r="A159" i="3"/>
  <c r="A159" i="4" s="1"/>
  <c r="A160" i="3"/>
  <c r="A160" i="4" s="1"/>
  <c r="A161" i="3"/>
  <c r="A161" i="4" s="1"/>
  <c r="A162" i="3"/>
  <c r="A162" i="4" s="1"/>
  <c r="A163" i="3"/>
  <c r="A163" i="4" s="1"/>
  <c r="A164" i="3"/>
  <c r="A164" i="4" s="1"/>
  <c r="A165" i="3"/>
  <c r="A165" i="4" s="1"/>
  <c r="C165" i="4" s="1"/>
  <c r="A166" i="3"/>
  <c r="A166" i="4" s="1"/>
  <c r="A167" i="3"/>
  <c r="A167" i="4" s="1"/>
  <c r="A168" i="3"/>
  <c r="A168" i="4" s="1"/>
  <c r="A169" i="3"/>
  <c r="A169" i="4" s="1"/>
  <c r="A170" i="3"/>
  <c r="A170" i="4" s="1"/>
  <c r="A171" i="3"/>
  <c r="A171" i="4" s="1"/>
  <c r="A172" i="3"/>
  <c r="A172" i="4" s="1"/>
  <c r="C172" i="4" s="1"/>
  <c r="A173" i="3"/>
  <c r="A173" i="4" s="1"/>
  <c r="A174" i="3"/>
  <c r="A174" i="4" s="1"/>
  <c r="A175" i="3"/>
  <c r="A175" i="4" s="1"/>
  <c r="C175" i="4" s="1"/>
  <c r="A176" i="3"/>
  <c r="A176" i="4" s="1"/>
  <c r="A177" i="3"/>
  <c r="A177" i="4" s="1"/>
  <c r="A178" i="3"/>
  <c r="A178" i="4" s="1"/>
  <c r="A179" i="3"/>
  <c r="A179" i="4" s="1"/>
  <c r="C179" i="4" s="1"/>
  <c r="A180" i="3"/>
  <c r="A180" i="4" s="1"/>
  <c r="A181" i="3"/>
  <c r="A181" i="4" s="1"/>
  <c r="A182" i="3"/>
  <c r="A182" i="4" s="1"/>
  <c r="A183" i="3"/>
  <c r="A183" i="4" s="1"/>
  <c r="A184" i="3"/>
  <c r="A184" i="4" s="1"/>
  <c r="C184" i="4" s="1"/>
  <c r="A185" i="3"/>
  <c r="A185" i="4" s="1"/>
  <c r="A186" i="3"/>
  <c r="A186" i="4" s="1"/>
  <c r="A187" i="3"/>
  <c r="A187" i="4" s="1"/>
  <c r="A188" i="3"/>
  <c r="A188" i="4" s="1"/>
  <c r="A189" i="3"/>
  <c r="A189" i="4" s="1"/>
  <c r="A190" i="3"/>
  <c r="A190" i="4" s="1"/>
  <c r="A191" i="3"/>
  <c r="A191" i="4" s="1"/>
  <c r="A192" i="3"/>
  <c r="A192" i="4" s="1"/>
  <c r="A193" i="3"/>
  <c r="A193" i="4" s="1"/>
  <c r="C193" i="4" s="1"/>
  <c r="A194" i="3"/>
  <c r="A194" i="4" s="1"/>
  <c r="A195" i="3"/>
  <c r="A195" i="4" s="1"/>
  <c r="C195" i="4" s="1"/>
  <c r="A196" i="3"/>
  <c r="A196" i="4" s="1"/>
  <c r="C196" i="4" s="1"/>
  <c r="A197" i="3"/>
  <c r="A197" i="4" s="1"/>
  <c r="A198" i="3"/>
  <c r="A198" i="4" s="1"/>
  <c r="C198" i="4" s="1"/>
  <c r="A199" i="3"/>
  <c r="A199" i="4" s="1"/>
  <c r="A200" i="3"/>
  <c r="A200" i="4" s="1"/>
  <c r="C200" i="4" s="1"/>
  <c r="A201" i="3"/>
  <c r="A201" i="4" s="1"/>
  <c r="A202" i="3"/>
  <c r="A202" i="4" s="1"/>
  <c r="A203" i="3"/>
  <c r="A203" i="4" s="1"/>
  <c r="C203" i="4" s="1"/>
  <c r="A204" i="3"/>
  <c r="A204" i="4" s="1"/>
  <c r="A205" i="3"/>
  <c r="A205" i="4" s="1"/>
  <c r="C205" i="4" s="1"/>
  <c r="A206" i="3"/>
  <c r="A206" i="4" s="1"/>
  <c r="A207" i="3"/>
  <c r="A207" i="4" s="1"/>
  <c r="A208" i="3"/>
  <c r="A208" i="4" s="1"/>
  <c r="A209" i="3"/>
  <c r="A209" i="4" s="1"/>
  <c r="C209" i="4" s="1"/>
  <c r="A210" i="3"/>
  <c r="A210" i="4" s="1"/>
  <c r="C210" i="4" s="1"/>
  <c r="A211" i="3"/>
  <c r="A211" i="4" s="1"/>
  <c r="A212" i="3"/>
  <c r="A212" i="4" s="1"/>
  <c r="A213" i="3"/>
  <c r="A213" i="4" s="1"/>
  <c r="A214" i="3"/>
  <c r="A214" i="4" s="1"/>
  <c r="A215" i="3"/>
  <c r="A215" i="4" s="1"/>
  <c r="C215" i="4" s="1"/>
  <c r="A216" i="3"/>
  <c r="A216" i="4" s="1"/>
  <c r="A217" i="3"/>
  <c r="A217" i="4" s="1"/>
  <c r="A218" i="3"/>
  <c r="A218" i="4" s="1"/>
  <c r="A219" i="3"/>
  <c r="A219" i="4" s="1"/>
  <c r="A220" i="3"/>
  <c r="A220" i="4" s="1"/>
  <c r="C220" i="4" s="1"/>
  <c r="A221" i="3"/>
  <c r="A221" i="4" s="1"/>
  <c r="A222" i="3"/>
  <c r="A222" i="4" s="1"/>
  <c r="A223" i="3"/>
  <c r="A223" i="4" s="1"/>
  <c r="A224" i="3"/>
  <c r="A224" i="4" s="1"/>
  <c r="C224" i="4" s="1"/>
  <c r="A225" i="3"/>
  <c r="A225" i="4" s="1"/>
  <c r="A226" i="3"/>
  <c r="A226" i="4" s="1"/>
  <c r="A227" i="3"/>
  <c r="A227" i="4" s="1"/>
  <c r="A228" i="3"/>
  <c r="A228" i="4" s="1"/>
  <c r="A229" i="3"/>
  <c r="A229" i="4" s="1"/>
  <c r="C229" i="4" s="1"/>
  <c r="A230" i="3"/>
  <c r="A230" i="4" s="1"/>
  <c r="C230" i="4" s="1"/>
  <c r="A231" i="3"/>
  <c r="A231" i="4" s="1"/>
  <c r="A232" i="3"/>
  <c r="A232" i="4" s="1"/>
  <c r="C232" i="4" s="1"/>
  <c r="A233" i="3"/>
  <c r="A233" i="4" s="1"/>
  <c r="C233" i="4" s="1"/>
  <c r="A234" i="3"/>
  <c r="A234" i="4" s="1"/>
  <c r="C234" i="4" s="1"/>
  <c r="A235" i="3"/>
  <c r="A235" i="4" s="1"/>
  <c r="A236" i="3"/>
  <c r="A236" i="4" s="1"/>
  <c r="A237" i="3"/>
  <c r="A237" i="4" s="1"/>
  <c r="A238" i="3"/>
  <c r="A238" i="4" s="1"/>
  <c r="A239" i="3"/>
  <c r="A239" i="4" s="1"/>
  <c r="A240" i="3"/>
  <c r="A240" i="4" s="1"/>
  <c r="A241" i="3"/>
  <c r="A241" i="4" s="1"/>
  <c r="A242" i="3"/>
  <c r="A242" i="4" s="1"/>
  <c r="C242" i="4" s="1"/>
  <c r="A243" i="3"/>
  <c r="A243" i="4" s="1"/>
  <c r="C243" i="4" s="1"/>
  <c r="A244" i="3"/>
  <c r="A244" i="4" s="1"/>
  <c r="C244" i="4" s="1"/>
  <c r="A245" i="3"/>
  <c r="A245" i="4" s="1"/>
  <c r="C245" i="4" s="1"/>
  <c r="A246" i="3"/>
  <c r="A246" i="4" s="1"/>
  <c r="A247" i="3"/>
  <c r="A247" i="4" s="1"/>
  <c r="C247" i="4" s="1"/>
  <c r="A248" i="3"/>
  <c r="A248" i="4" s="1"/>
  <c r="A249" i="3"/>
  <c r="A249" i="4" s="1"/>
  <c r="A250" i="3"/>
  <c r="A250" i="4" s="1"/>
  <c r="C250" i="4" s="1"/>
  <c r="A251" i="3"/>
  <c r="A251" i="4" s="1"/>
  <c r="A2" i="3"/>
  <c r="A2" i="4" s="1"/>
  <c r="A15" i="4" l="1"/>
  <c r="C15" i="4" s="1"/>
  <c r="A2" i="8" a="1"/>
  <c r="A2" i="8" s="1"/>
  <c r="A5" i="4"/>
  <c r="A2" i="5" l="1"/>
  <c r="C2" i="5"/>
  <c r="G2" i="5" l="1"/>
  <c r="F2" i="5"/>
  <c r="L2" i="5" l="1"/>
  <c r="K2" i="5"/>
  <c r="M2"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<sst xmlns="http://schemas.openxmlformats.org/spreadsheetml/2006/main" count="66" uniqueCount="59">
  <si>
    <t>Età</t>
  </si>
  <si>
    <t>Individuo</t>
  </si>
  <si>
    <t>Gruppo</t>
  </si>
  <si>
    <t>Età generate</t>
  </si>
  <si>
    <t>Gruppo di appartenenza</t>
  </si>
  <si>
    <t>Sotto-Campione scelto</t>
  </si>
  <si>
    <t>Media Campionaria</t>
  </si>
  <si>
    <t>Numerosità Campionaria</t>
  </si>
  <si>
    <t>Errore standard</t>
  </si>
  <si>
    <t>Gradi di libertà</t>
  </si>
  <si>
    <t>Confidenza</t>
  </si>
  <si>
    <t>Alfa</t>
  </si>
  <si>
    <t>Limite inferiore</t>
  </si>
  <si>
    <t>Limite superiore</t>
  </si>
  <si>
    <t>Campione Gruppo</t>
  </si>
  <si>
    <t>Z</t>
  </si>
  <si>
    <t>Varianza popolazione</t>
  </si>
  <si>
    <t>Deviazione Standard popolazione</t>
  </si>
  <si>
    <t>Media Popolazione</t>
  </si>
  <si>
    <t>Test Z</t>
  </si>
  <si>
    <t>Età partner</t>
  </si>
  <si>
    <t>Numero gatti</t>
  </si>
  <si>
    <t>Sample data (età)</t>
  </si>
  <si>
    <t>Correlazione tra età del campione ed età Partner</t>
  </si>
  <si>
    <t>Correlazione tra età del campione e numero gatti posseduti</t>
  </si>
  <si>
    <t>Correlazione tra età del partner e numero gatti posseduti</t>
  </si>
  <si>
    <t>Sezione</t>
  </si>
  <si>
    <t>Problema/Attività</t>
  </si>
  <si>
    <t>Azione/Soluzione</t>
  </si>
  <si>
    <t>Commento</t>
  </si>
  <si>
    <t>Parameters</t>
  </si>
  <si>
    <t>Creazione 250 età variabili</t>
  </si>
  <si>
    <t>Data</t>
  </si>
  <si>
    <t>Sample</t>
  </si>
  <si>
    <t>Isolare un gruppo alla volta</t>
  </si>
  <si>
    <t>Ho cercato di seguire il più possibile la consegna, ma ho ritenuto che per evidenziare meglio un gruppo singolo l'opzione della funizione se fosse più "funzionale", così ho deciso di creare due tab alternativi. Per la scelta del gruppo nel sample_if ho utilizzato la convalida dati. Il foglio sample_filter è invece collegato al campo convalida del tab Statistical Insight</t>
  </si>
  <si>
    <t xml:space="preserve"> Statistical Insight</t>
  </si>
  <si>
    <t>(Un)correlated Variables</t>
  </si>
  <si>
    <t>Linear regression</t>
  </si>
  <si>
    <t>Generazione età random basata su distribuzione normale</t>
  </si>
  <si>
    <t>Ho utilizzato media =46 e dev.std=20 con limiti 1-100 per evitare valori fuori scala.</t>
  </si>
  <si>
    <t>Assegnazione gruppo agli individui creati</t>
  </si>
  <si>
    <t>Assegnazione casuale gruppo 1-4</t>
  </si>
  <si>
    <t>Utilizzata funizone =casuale.tra(1;4)</t>
  </si>
  <si>
    <t>Ho utilizzato due approcci: funzione Filtro dinamico e funzione Se</t>
  </si>
  <si>
    <t>Analisi satistica per gruppo (selezionabile)</t>
  </si>
  <si>
    <t>Tabelle calcolate dinamicamente via convalida dati</t>
  </si>
  <si>
    <t>Cambiando il gruppo nella convalida tutti i calcoli /statistiche e i commenti si aggiornano automaticamente</t>
  </si>
  <si>
    <t>Variabili derivate: età partner e numero gatti</t>
  </si>
  <si>
    <t xml:space="preserve">Età partner = età + random (-5 o +5) se età maggiore di 18. Gatti random tra 0 e 3. </t>
  </si>
  <si>
    <t>Ho rimosso  dal gruppo gli individui minorenni</t>
  </si>
  <si>
    <t>Scatter plot con regressione lineare</t>
  </si>
  <si>
    <t>Scatter + linea di tendenza (equazione e R2 visibili) ed evidenziato individuo 160</t>
  </si>
  <si>
    <t xml:space="preserve">Ho deciso di usare il gruppo 3 come campione perché più numeroso. </t>
  </si>
  <si>
    <r>
      <rPr>
        <b/>
        <sz val="11"/>
        <color theme="1"/>
        <rFont val="Aptos Narrow"/>
        <family val="2"/>
        <scheme val="minor"/>
      </rPr>
      <t>Campione 3</t>
    </r>
    <r>
      <rPr>
        <sz val="11"/>
        <color theme="1"/>
        <rFont val="Aptos Narrow"/>
        <family val="2"/>
        <scheme val="minor"/>
      </rPr>
      <t xml:space="preserve">
La deviazione standard della popolazione è di 19,88, questo indica una moderata dispersione dei dati rispetto alla media. La media campionaria è di 47,30. Rispetto alla media della popolazione (46,92) la differenza è di 0,38 punti, molto ridotta rispetto all'errore standard. L'intervallo di confidenza del 95% della popolazione va da 42,61 al 52,00. Questo conferma che la stima campionaria è affidabile e rappresentativa della popolazione. il test Z restituisce -0,16, inferiore al valore critico di 1,96, il che implica che non è vi è evidenza statistica per rifiutare l'ipotesi nulla. la media del campione non differisce significativamente dalla media della popolazione.</t>
    </r>
  </si>
  <si>
    <r>
      <rPr>
        <b/>
        <sz val="11"/>
        <color theme="1"/>
        <rFont val="Aptos Narrow"/>
        <family val="2"/>
        <scheme val="minor"/>
      </rPr>
      <t>Campione 1</t>
    </r>
    <r>
      <rPr>
        <sz val="11"/>
        <color theme="1"/>
        <rFont val="Aptos Narrow"/>
        <family val="2"/>
        <scheme val="minor"/>
      </rPr>
      <t xml:space="preserve">
La deviazione standard della popolazione è di 19,88, questo indica una moderata dispersione dei dati rispetto alla media. La media campionaria  è  di 45,59. Rispetto alla media della popolazione (46,92) la differenza è di 1,33 punti, inferiore all'errore standard. L'intervallo di confidenza del 95% della popolazione va da 40, 38 al 50,80. Questo conferma che la stima campionaria è affidabile e rappresentativa della popolazione. il test Z restituisce 0,50, inferiore al valore critico di 1,96, il che implica che non è vi è evidenza statistica per rifiutare l'ipotesi nulla. la media del campione non differisce significativamente dalla media della popolazione.</t>
    </r>
  </si>
  <si>
    <r>
      <rPr>
        <b/>
        <sz val="11"/>
        <color theme="1"/>
        <rFont val="Aptos Narrow"/>
        <family val="2"/>
        <scheme val="minor"/>
      </rPr>
      <t>Campione 2</t>
    </r>
    <r>
      <rPr>
        <sz val="11"/>
        <color theme="1"/>
        <rFont val="Aptos Narrow"/>
        <family val="2"/>
        <scheme val="minor"/>
      </rPr>
      <t xml:space="preserve">
La deviazione standard della popolazione è di 19,88, questo indica una moderata dispersione dei dati rispetto alla media. La media campionaria e di  45,03. Rispetto alla media della popolazione (46,92) la differenza è di 1,87 punti, inferiore all'errore standard. L'intervallo di confidenza del 95% della popolazione va da 39,92 al 50,15. Questo conferma che la stima campionaria è affidabile e rappresentativa della popolazione. il test Z restituisce 0,72, inferiore al valore critico di 1,96, il che implica che non è vi è evidenza statistica per rifiutare l'ipotesi nulla. la media del campione non differisce significativamente dalla media della popolazione.</t>
    </r>
  </si>
  <si>
    <r>
      <rPr>
        <b/>
        <sz val="11"/>
        <color theme="1"/>
        <rFont val="Aptos Narrow"/>
        <family val="2"/>
        <scheme val="minor"/>
      </rPr>
      <t>Campione 4</t>
    </r>
    <r>
      <rPr>
        <sz val="11"/>
        <color theme="1"/>
        <rFont val="Aptos Narrow"/>
        <family val="2"/>
        <scheme val="minor"/>
      </rPr>
      <t xml:space="preserve">
La deviazione standard della popolazione è di 19,88, questo indica una moderata dispersione dei dati rispetto alla media. La media campionaria è di  49,27. Rispetto alla media della popolazione (46,92) la differenza è di 2,38 punti, vicino all'errore standard tuttavia ancora inferiore. L'intervallo di confidenza del 95% della popolazione va da 44,51 al 54,03. Questo conferma che la stima campionaria è affidabile e rappresentativa della popolazione. il test Z restituisce -0,97, inferiore al valore critico di 1,96, il che implica che non è vi è evidenza statistica per rifiutare l'ipotesi nulla. la media del campione non differisce significativamente dalla media della popolazione.</t>
    </r>
  </si>
  <si>
    <t>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</si>
</sst>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 x14ac:knownFonts="1">
    <font>
      <sz val="11"/>
      <color theme="1"/>
      <name val="Aptos Narrow"/>
      <family val="2"/>
      <scheme val="minor"/>
    </font>
    <font>
      <b/>
      <sz val="11"/>
      <color theme="1"/>
      <name val="Aptos Narrow"/>
      <family val="2"/>
      <scheme val="minor"/>
    </font>
    <font>
      <sz val="11"/>
      <name val="Aptos Narrow"/>
      <family val="2"/>
      <scheme val="minor"/>
    </font>
    <font>
      <b/>
      <sz val="11"/>
      <color theme="0"/>
      <name val="Aptos Narrow"/>
      <family val="2"/>
      <scheme val="minor"/>
    </font>
    <font>
      <b/>
      <sz val="12"/>
      <color rgb="FF0070C0"/>
      <name val="Comic Sans MS"/>
      <family val="4"/>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tint="-0.34998626667073579"/>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bottom style="thin">
        <color indexed="64"/>
      </bottom>
      <diagonal/>
    </border>
    <border>
      <left style="double">
        <color auto="1"/>
      </left>
      <right style="double">
        <color auto="1"/>
      </right>
      <top style="double">
        <color auto="1"/>
      </top>
      <bottom/>
      <diagonal/>
    </border>
    <border>
      <left style="double">
        <color auto="1"/>
      </left>
      <right style="double">
        <color auto="1"/>
      </right>
      <top style="double">
        <color auto="1"/>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s>
  <cellStyleXfs count="1">
    <xf numFmtId="0" fontId="0" fillId="0" borderId="0"/>
  </cellStyleXfs>
  <cellXfs count="32">
    <xf numFmtId="0" fontId="0" fillId="0" borderId="0" xfId="0"/>
    <xf numFmtId="0" fontId="0" fillId="0" borderId="1" xfId="0" applyBorder="1" applyAlignment="1">
      <alignment horizontal="center"/>
    </xf>
    <xf numFmtId="0" fontId="1" fillId="0" borderId="1" xfId="0" applyFont="1" applyBorder="1" applyAlignment="1">
      <alignment horizontal="center"/>
    </xf>
    <xf numFmtId="0" fontId="0" fillId="0" borderId="3" xfId="0" applyBorder="1" applyAlignment="1">
      <alignment horizontal="center"/>
    </xf>
    <xf numFmtId="0" fontId="4" fillId="0" borderId="2" xfId="0" applyFont="1" applyBorder="1" applyAlignment="1">
      <alignment horizontal="center"/>
    </xf>
    <xf numFmtId="0" fontId="4" fillId="0" borderId="2" xfId="0" applyFont="1" applyBorder="1"/>
    <xf numFmtId="164" fontId="0" fillId="0" borderId="0" xfId="0" applyNumberFormat="1"/>
    <xf numFmtId="2" fontId="0" fillId="0" borderId="1" xfId="0" applyNumberFormat="1" applyBorder="1" applyAlignment="1">
      <alignment horizontal="center"/>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vertical="top" wrapText="1"/>
    </xf>
    <xf numFmtId="1" fontId="0" fillId="0" borderId="1" xfId="0" applyNumberFormat="1" applyBorder="1" applyAlignment="1">
      <alignment horizontal="center"/>
    </xf>
    <xf numFmtId="0" fontId="0" fillId="0" borderId="0" xfId="0" applyAlignment="1">
      <alignment horizontal="center" vertical="center"/>
    </xf>
    <xf numFmtId="0" fontId="2" fillId="0" borderId="0" xfId="0" applyFont="1" applyAlignment="1">
      <alignment horizontal="left" vertical="top" wrapText="1"/>
    </xf>
    <xf numFmtId="1" fontId="0" fillId="0" borderId="0" xfId="0" applyNumberFormat="1" applyAlignment="1">
      <alignment horizontal="center"/>
    </xf>
    <xf numFmtId="0" fontId="4" fillId="0" borderId="4" xfId="0" applyFont="1" applyBorder="1"/>
    <xf numFmtId="0" fontId="0" fillId="0" borderId="0" xfId="0" applyAlignment="1">
      <alignment horizontal="center"/>
    </xf>
    <xf numFmtId="0" fontId="4" fillId="0" borderId="5" xfId="0" applyFont="1" applyBorder="1"/>
    <xf numFmtId="0" fontId="0" fillId="3" borderId="7" xfId="0"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3" borderId="8" xfId="0" applyFill="1" applyBorder="1" applyAlignment="1">
      <alignment horizontal="center" vertical="center" wrapText="1"/>
    </xf>
    <xf numFmtId="0" fontId="0" fillId="0" borderId="8" xfId="0" applyBorder="1" applyAlignment="1">
      <alignment horizontal="center" vertical="center" wrapText="1"/>
    </xf>
    <xf numFmtId="0" fontId="0" fillId="0" borderId="0" xfId="0" quotePrefix="1"/>
    <xf numFmtId="0" fontId="3" fillId="2" borderId="9" xfId="0" applyFont="1" applyFill="1" applyBorder="1" applyAlignment="1">
      <alignment horizontal="center"/>
    </xf>
    <xf numFmtId="0" fontId="3" fillId="2" borderId="10" xfId="0" applyFont="1" applyFill="1" applyBorder="1" applyAlignment="1">
      <alignment horizontal="center"/>
    </xf>
    <xf numFmtId="0" fontId="3" fillId="2" borderId="11" xfId="0" applyFont="1" applyFill="1" applyBorder="1" applyAlignment="1">
      <alignment horizontal="center"/>
    </xf>
    <xf numFmtId="0" fontId="1" fillId="3" borderId="6" xfId="0" applyFont="1" applyFill="1" applyBorder="1" applyAlignment="1">
      <alignment horizontal="center" vertical="center"/>
    </xf>
    <xf numFmtId="0" fontId="1" fillId="0" borderId="6" xfId="0" applyFont="1" applyBorder="1" applyAlignment="1">
      <alignment horizontal="center" vertical="center"/>
    </xf>
    <xf numFmtId="0" fontId="0" fillId="4" borderId="0" xfId="0" applyFill="1"/>
    <xf numFmtId="0" fontId="1" fillId="0" borderId="0" xfId="0" applyFont="1" applyAlignment="1">
      <alignment horizontal="center" vertical="center"/>
    </xf>
    <xf numFmtId="0" fontId="2" fillId="0" borderId="0" xfId="0" applyFont="1" applyAlignment="1">
      <alignment horizontal="left" vertical="top" wrapText="1"/>
    </xf>
  </cellXfs>
  <cellStyles count="1">
    <cellStyle name="Normale" xfId="0" builtinId="0"/>
  </cellStyles>
  <dxfs count="8">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font>
      <alignment horizontal="center" vertical="center" textRotation="0" indent="0" justifyLastLine="0" shrinkToFit="0" readingOrder="0"/>
    </dxf>
    <dxf>
      <border outline="0">
        <top style="thin">
          <color theme="4" tint="0.39997558519241921"/>
        </top>
      </border>
    </dxf>
    <dxf>
      <alignment horizontal="center" vertical="center" textRotation="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'(Un)correlated Variables'!$A$2:$A$67</c:f>
              <c:numCache>
                <c:formatCode>General</c:formatCode>
                <c:ptCount val="66"/>
                <c:pt idx="0">
                  <c:v>68</c:v>
                </c:pt>
                <c:pt idx="1">
                  <c:v>28</c:v>
                </c:pt>
                <c:pt idx="2">
                  <c:v>44</c:v>
                </c:pt>
                <c:pt idx="3">
                  <c:v>67</c:v>
                </c:pt>
                <c:pt idx="4">
                  <c:v>33</c:v>
                </c:pt>
                <c:pt idx="5">
                  <c:v>40</c:v>
                </c:pt>
                <c:pt idx="6">
                  <c:v>71</c:v>
                </c:pt>
                <c:pt idx="7">
                  <c:v>60</c:v>
                </c:pt>
                <c:pt idx="8">
                  <c:v>64</c:v>
                </c:pt>
                <c:pt idx="9">
                  <c:v>42</c:v>
                </c:pt>
                <c:pt idx="10">
                  <c:v>53</c:v>
                </c:pt>
                <c:pt idx="11">
                  <c:v>46</c:v>
                </c:pt>
                <c:pt idx="12">
                  <c:v>60</c:v>
                </c:pt>
                <c:pt idx="13">
                  <c:v>43</c:v>
                </c:pt>
                <c:pt idx="14">
                  <c:v>62</c:v>
                </c:pt>
                <c:pt idx="15">
                  <c:v>49</c:v>
                </c:pt>
                <c:pt idx="16">
                  <c:v>50</c:v>
                </c:pt>
                <c:pt idx="17">
                  <c:v>36</c:v>
                </c:pt>
                <c:pt idx="18">
                  <c:v>31</c:v>
                </c:pt>
                <c:pt idx="19">
                  <c:v>70</c:v>
                </c:pt>
                <c:pt idx="20">
                  <c:v>73</c:v>
                </c:pt>
                <c:pt idx="21">
                  <c:v>46</c:v>
                </c:pt>
                <c:pt idx="22">
                  <c:v>26</c:v>
                </c:pt>
                <c:pt idx="23">
                  <c:v>54</c:v>
                </c:pt>
                <c:pt idx="24">
                  <c:v>35</c:v>
                </c:pt>
                <c:pt idx="25">
                  <c:v>64</c:v>
                </c:pt>
                <c:pt idx="26">
                  <c:v>37</c:v>
                </c:pt>
                <c:pt idx="27">
                  <c:v>32</c:v>
                </c:pt>
                <c:pt idx="28">
                  <c:v>54</c:v>
                </c:pt>
                <c:pt idx="29">
                  <c:v>36</c:v>
                </c:pt>
                <c:pt idx="30">
                  <c:v>80</c:v>
                </c:pt>
                <c:pt idx="31">
                  <c:v>68</c:v>
                </c:pt>
                <c:pt idx="32">
                  <c:v>56</c:v>
                </c:pt>
                <c:pt idx="33">
                  <c:v>18</c:v>
                </c:pt>
                <c:pt idx="34">
                  <c:v>60</c:v>
                </c:pt>
                <c:pt idx="35">
                  <c:v>32</c:v>
                </c:pt>
                <c:pt idx="36">
                  <c:v>54</c:v>
                </c:pt>
                <c:pt idx="37">
                  <c:v>20</c:v>
                </c:pt>
                <c:pt idx="38">
                  <c:v>25</c:v>
                </c:pt>
                <c:pt idx="39">
                  <c:v>41</c:v>
                </c:pt>
                <c:pt idx="40">
                  <c:v>60</c:v>
                </c:pt>
                <c:pt idx="41">
                  <c:v>68</c:v>
                </c:pt>
                <c:pt idx="42">
                  <c:v>29</c:v>
                </c:pt>
                <c:pt idx="43">
                  <c:v>63</c:v>
                </c:pt>
                <c:pt idx="44">
                  <c:v>80</c:v>
                </c:pt>
                <c:pt idx="45">
                  <c:v>47</c:v>
                </c:pt>
                <c:pt idx="46">
                  <c:v>56</c:v>
                </c:pt>
                <c:pt idx="47">
                  <c:v>58</c:v>
                </c:pt>
                <c:pt idx="48">
                  <c:v>72</c:v>
                </c:pt>
                <c:pt idx="49">
                  <c:v>59</c:v>
                </c:pt>
                <c:pt idx="50">
                  <c:v>56</c:v>
                </c:pt>
                <c:pt idx="51">
                  <c:v>31</c:v>
                </c:pt>
                <c:pt idx="52">
                  <c:v>50</c:v>
                </c:pt>
                <c:pt idx="53">
                  <c:v>20</c:v>
                </c:pt>
                <c:pt idx="54">
                  <c:v>76</c:v>
                </c:pt>
                <c:pt idx="55">
                  <c:v>74</c:v>
                </c:pt>
                <c:pt idx="56">
                  <c:v>69</c:v>
                </c:pt>
                <c:pt idx="57">
                  <c:v>22</c:v>
                </c:pt>
                <c:pt idx="58">
                  <c:v>23</c:v>
                </c:pt>
                <c:pt idx="59">
                  <c:v>66</c:v>
                </c:pt>
                <c:pt idx="60">
                  <c:v>70</c:v>
                </c:pt>
                <c:pt idx="61">
                  <c:v>22</c:v>
                </c:pt>
                <c:pt idx="62">
                  <c:v>25</c:v>
                </c:pt>
                <c:pt idx="63">
                  <c:v>23</c:v>
                </c:pt>
                <c:pt idx="64">
                  <c:v>57</c:v>
                </c:pt>
                <c:pt idx="65">
                  <c:v>37</c:v>
                </c:pt>
              </c:numCache>
            </c:numRef>
          </c:xVal>
          <c:yVal>
            <c:numRef>
              <c:f>'(Un)correlated Variables'!$B$2:$B$67</c:f>
              <c:numCache>
                <c:formatCode>General</c:formatCode>
                <c:ptCount val="66"/>
                <c:pt idx="0">
                  <c:v>0</c:v>
                </c:pt>
                <c:pt idx="1">
                  <c:v>1</c:v>
                </c:pt>
                <c:pt idx="2">
                  <c:v>3</c:v>
                </c:pt>
                <c:pt idx="3">
                  <c:v>3</c:v>
                </c:pt>
                <c:pt idx="4">
                  <c:v>2</c:v>
                </c:pt>
                <c:pt idx="5">
                  <c:v>3</c:v>
                </c:pt>
                <c:pt idx="6">
                  <c:v>0</c:v>
                </c:pt>
                <c:pt idx="7">
                  <c:v>2</c:v>
                </c:pt>
                <c:pt idx="8">
                  <c:v>2</c:v>
                </c:pt>
                <c:pt idx="9">
                  <c:v>1</c:v>
                </c:pt>
                <c:pt idx="10">
                  <c:v>3</c:v>
                </c:pt>
                <c:pt idx="11">
                  <c:v>1</c:v>
                </c:pt>
                <c:pt idx="12">
                  <c:v>2</c:v>
                </c:pt>
                <c:pt idx="13">
                  <c:v>2</c:v>
                </c:pt>
                <c:pt idx="14">
                  <c:v>2</c:v>
                </c:pt>
                <c:pt idx="15">
                  <c:v>1</c:v>
                </c:pt>
                <c:pt idx="16">
                  <c:v>0</c:v>
                </c:pt>
                <c:pt idx="17">
                  <c:v>2</c:v>
                </c:pt>
                <c:pt idx="18">
                  <c:v>1</c:v>
                </c:pt>
                <c:pt idx="19">
                  <c:v>3</c:v>
                </c:pt>
                <c:pt idx="20">
                  <c:v>0</c:v>
                </c:pt>
                <c:pt idx="21">
                  <c:v>2</c:v>
                </c:pt>
                <c:pt idx="22">
                  <c:v>1</c:v>
                </c:pt>
                <c:pt idx="23">
                  <c:v>3</c:v>
                </c:pt>
                <c:pt idx="24">
                  <c:v>3</c:v>
                </c:pt>
                <c:pt idx="25">
                  <c:v>0</c:v>
                </c:pt>
                <c:pt idx="26">
                  <c:v>2</c:v>
                </c:pt>
                <c:pt idx="27">
                  <c:v>2</c:v>
                </c:pt>
                <c:pt idx="28">
                  <c:v>2</c:v>
                </c:pt>
                <c:pt idx="29">
                  <c:v>3</c:v>
                </c:pt>
                <c:pt idx="30">
                  <c:v>0</c:v>
                </c:pt>
                <c:pt idx="31">
                  <c:v>2</c:v>
                </c:pt>
                <c:pt idx="32">
                  <c:v>0</c:v>
                </c:pt>
                <c:pt idx="33">
                  <c:v>2</c:v>
                </c:pt>
                <c:pt idx="34">
                  <c:v>1</c:v>
                </c:pt>
                <c:pt idx="35">
                  <c:v>2</c:v>
                </c:pt>
                <c:pt idx="36">
                  <c:v>3</c:v>
                </c:pt>
                <c:pt idx="37">
                  <c:v>2</c:v>
                </c:pt>
                <c:pt idx="38">
                  <c:v>3</c:v>
                </c:pt>
                <c:pt idx="39">
                  <c:v>3</c:v>
                </c:pt>
                <c:pt idx="40">
                  <c:v>0</c:v>
                </c:pt>
                <c:pt idx="41">
                  <c:v>3</c:v>
                </c:pt>
                <c:pt idx="42">
                  <c:v>3</c:v>
                </c:pt>
                <c:pt idx="43">
                  <c:v>0</c:v>
                </c:pt>
                <c:pt idx="44">
                  <c:v>2</c:v>
                </c:pt>
                <c:pt idx="45">
                  <c:v>0</c:v>
                </c:pt>
                <c:pt idx="46">
                  <c:v>2</c:v>
                </c:pt>
                <c:pt idx="47">
                  <c:v>0</c:v>
                </c:pt>
                <c:pt idx="48">
                  <c:v>1</c:v>
                </c:pt>
                <c:pt idx="49">
                  <c:v>1</c:v>
                </c:pt>
                <c:pt idx="50">
                  <c:v>2</c:v>
                </c:pt>
                <c:pt idx="51">
                  <c:v>2</c:v>
                </c:pt>
                <c:pt idx="52">
                  <c:v>3</c:v>
                </c:pt>
                <c:pt idx="53">
                  <c:v>2</c:v>
                </c:pt>
                <c:pt idx="54">
                  <c:v>2</c:v>
                </c:pt>
                <c:pt idx="55">
                  <c:v>0</c:v>
                </c:pt>
                <c:pt idx="56">
                  <c:v>2</c:v>
                </c:pt>
                <c:pt idx="57">
                  <c:v>1</c:v>
                </c:pt>
                <c:pt idx="58">
                  <c:v>1</c:v>
                </c:pt>
                <c:pt idx="59">
                  <c:v>2</c:v>
                </c:pt>
                <c:pt idx="60">
                  <c:v>2</c:v>
                </c:pt>
                <c:pt idx="61">
                  <c:v>1</c:v>
                </c:pt>
                <c:pt idx="62">
                  <c:v>3</c:v>
                </c:pt>
                <c:pt idx="63">
                  <c:v>2</c:v>
                </c:pt>
                <c:pt idx="64">
                  <c:v>0</c:v>
                </c:pt>
                <c:pt idx="65">
                  <c:v>3</c:v>
                </c:pt>
              </c:numCache>
            </c:numRef>
          </c:yVal>
          <c:smooth val="0"/>
          <c:extLst>
            <c:ext xmlns:c16="http://schemas.microsoft.com/office/drawing/2014/chart" uri="{C3380CC4-5D6E-409C-BE32-E72D297353CC}">
              <c16:uniqueId val="{00000000-627A-42AF-8043-3F9AFF2C7126}"/>
            </c:ext>
          </c:extLst>
        </c:ser>
        <c:dLbls>
          <c:showLegendKey val="0"/>
          <c:showVal val="0"/>
          <c:showCatName val="0"/>
          <c:showSerName val="0"/>
          <c:showPercent val="0"/>
          <c:showBubbleSize val="0"/>
        </c:dLbls>
        <c:axId val="1796637936"/>
        <c:axId val="1796638416"/>
      </c:scatterChart>
      <c:valAx>
        <c:axId val="1796637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796638416"/>
        <c:crosses val="autoZero"/>
        <c:crossBetween val="midCat"/>
      </c:valAx>
      <c:valAx>
        <c:axId val="179663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7966379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'(Un)correlated Variables'!$C$1</c:f>
              <c:strCache>
                <c:ptCount val="1"/>
                <c:pt idx="0">
                  <c:v>Età partner</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'(Un)correlated Variables'!$B$2:$B$67</c:f>
              <c:numCache>
                <c:formatCode>General</c:formatCode>
                <c:ptCount val="66"/>
                <c:pt idx="0">
                  <c:v>0</c:v>
                </c:pt>
                <c:pt idx="1">
                  <c:v>1</c:v>
                </c:pt>
                <c:pt idx="2">
                  <c:v>3</c:v>
                </c:pt>
                <c:pt idx="3">
                  <c:v>3</c:v>
                </c:pt>
                <c:pt idx="4">
                  <c:v>2</c:v>
                </c:pt>
                <c:pt idx="5">
                  <c:v>3</c:v>
                </c:pt>
                <c:pt idx="6">
                  <c:v>0</c:v>
                </c:pt>
                <c:pt idx="7">
                  <c:v>2</c:v>
                </c:pt>
                <c:pt idx="8">
                  <c:v>2</c:v>
                </c:pt>
                <c:pt idx="9">
                  <c:v>1</c:v>
                </c:pt>
                <c:pt idx="10">
                  <c:v>3</c:v>
                </c:pt>
                <c:pt idx="11">
                  <c:v>1</c:v>
                </c:pt>
                <c:pt idx="12">
                  <c:v>2</c:v>
                </c:pt>
                <c:pt idx="13">
                  <c:v>2</c:v>
                </c:pt>
                <c:pt idx="14">
                  <c:v>2</c:v>
                </c:pt>
                <c:pt idx="15">
                  <c:v>1</c:v>
                </c:pt>
                <c:pt idx="16">
                  <c:v>0</c:v>
                </c:pt>
                <c:pt idx="17">
                  <c:v>2</c:v>
                </c:pt>
                <c:pt idx="18">
                  <c:v>1</c:v>
                </c:pt>
                <c:pt idx="19">
                  <c:v>3</c:v>
                </c:pt>
                <c:pt idx="20">
                  <c:v>0</c:v>
                </c:pt>
                <c:pt idx="21">
                  <c:v>2</c:v>
                </c:pt>
                <c:pt idx="22">
                  <c:v>1</c:v>
                </c:pt>
                <c:pt idx="23">
                  <c:v>3</c:v>
                </c:pt>
                <c:pt idx="24">
                  <c:v>3</c:v>
                </c:pt>
                <c:pt idx="25">
                  <c:v>0</c:v>
                </c:pt>
                <c:pt idx="26">
                  <c:v>2</c:v>
                </c:pt>
                <c:pt idx="27">
                  <c:v>2</c:v>
                </c:pt>
                <c:pt idx="28">
                  <c:v>2</c:v>
                </c:pt>
                <c:pt idx="29">
                  <c:v>3</c:v>
                </c:pt>
                <c:pt idx="30">
                  <c:v>0</c:v>
                </c:pt>
                <c:pt idx="31">
                  <c:v>2</c:v>
                </c:pt>
                <c:pt idx="32">
                  <c:v>0</c:v>
                </c:pt>
                <c:pt idx="33">
                  <c:v>2</c:v>
                </c:pt>
                <c:pt idx="34">
                  <c:v>1</c:v>
                </c:pt>
                <c:pt idx="35">
                  <c:v>2</c:v>
                </c:pt>
                <c:pt idx="36">
                  <c:v>3</c:v>
                </c:pt>
                <c:pt idx="37">
                  <c:v>2</c:v>
                </c:pt>
                <c:pt idx="38">
                  <c:v>3</c:v>
                </c:pt>
                <c:pt idx="39">
                  <c:v>3</c:v>
                </c:pt>
                <c:pt idx="40">
                  <c:v>0</c:v>
                </c:pt>
                <c:pt idx="41">
                  <c:v>3</c:v>
                </c:pt>
                <c:pt idx="42">
                  <c:v>3</c:v>
                </c:pt>
                <c:pt idx="43">
                  <c:v>0</c:v>
                </c:pt>
                <c:pt idx="44">
                  <c:v>2</c:v>
                </c:pt>
                <c:pt idx="45">
                  <c:v>0</c:v>
                </c:pt>
                <c:pt idx="46">
                  <c:v>2</c:v>
                </c:pt>
                <c:pt idx="47">
                  <c:v>0</c:v>
                </c:pt>
                <c:pt idx="48">
                  <c:v>1</c:v>
                </c:pt>
                <c:pt idx="49">
                  <c:v>1</c:v>
                </c:pt>
                <c:pt idx="50">
                  <c:v>2</c:v>
                </c:pt>
                <c:pt idx="51">
                  <c:v>2</c:v>
                </c:pt>
                <c:pt idx="52">
                  <c:v>3</c:v>
                </c:pt>
                <c:pt idx="53">
                  <c:v>2</c:v>
                </c:pt>
                <c:pt idx="54">
                  <c:v>2</c:v>
                </c:pt>
                <c:pt idx="55">
                  <c:v>0</c:v>
                </c:pt>
                <c:pt idx="56">
                  <c:v>2</c:v>
                </c:pt>
                <c:pt idx="57">
                  <c:v>1</c:v>
                </c:pt>
                <c:pt idx="58">
                  <c:v>1</c:v>
                </c:pt>
                <c:pt idx="59">
                  <c:v>2</c:v>
                </c:pt>
                <c:pt idx="60">
                  <c:v>2</c:v>
                </c:pt>
                <c:pt idx="61">
                  <c:v>1</c:v>
                </c:pt>
                <c:pt idx="62">
                  <c:v>3</c:v>
                </c:pt>
                <c:pt idx="63">
                  <c:v>2</c:v>
                </c:pt>
                <c:pt idx="64">
                  <c:v>0</c:v>
                </c:pt>
                <c:pt idx="65">
                  <c:v>3</c:v>
                </c:pt>
              </c:numCache>
            </c:numRef>
          </c:xVal>
          <c:yVal>
            <c:numRef>
              <c:f>'(Un)correlated Variables'!$C$2:$C$67</c:f>
              <c:numCache>
                <c:formatCode>General</c:formatCode>
                <c:ptCount val="66"/>
                <c:pt idx="0">
                  <c:v>67</c:v>
                </c:pt>
                <c:pt idx="1">
                  <c:v>32</c:v>
                </c:pt>
                <c:pt idx="2">
                  <c:v>44</c:v>
                </c:pt>
                <c:pt idx="3">
                  <c:v>68</c:v>
                </c:pt>
                <c:pt idx="4">
                  <c:v>32</c:v>
                </c:pt>
                <c:pt idx="5">
                  <c:v>43</c:v>
                </c:pt>
                <c:pt idx="6">
                  <c:v>70</c:v>
                </c:pt>
                <c:pt idx="7">
                  <c:v>57</c:v>
                </c:pt>
                <c:pt idx="8">
                  <c:v>62</c:v>
                </c:pt>
                <c:pt idx="9">
                  <c:v>41</c:v>
                </c:pt>
                <c:pt idx="10">
                  <c:v>52</c:v>
                </c:pt>
                <c:pt idx="11">
                  <c:v>48</c:v>
                </c:pt>
                <c:pt idx="12">
                  <c:v>57</c:v>
                </c:pt>
                <c:pt idx="13">
                  <c:v>42</c:v>
                </c:pt>
                <c:pt idx="14">
                  <c:v>61</c:v>
                </c:pt>
                <c:pt idx="15">
                  <c:v>52</c:v>
                </c:pt>
                <c:pt idx="16">
                  <c:v>47</c:v>
                </c:pt>
                <c:pt idx="17">
                  <c:v>36</c:v>
                </c:pt>
                <c:pt idx="18">
                  <c:v>30</c:v>
                </c:pt>
                <c:pt idx="19">
                  <c:v>68</c:v>
                </c:pt>
                <c:pt idx="20">
                  <c:v>75</c:v>
                </c:pt>
                <c:pt idx="21">
                  <c:v>44</c:v>
                </c:pt>
                <c:pt idx="22">
                  <c:v>25</c:v>
                </c:pt>
                <c:pt idx="23">
                  <c:v>32</c:v>
                </c:pt>
                <c:pt idx="24">
                  <c:v>67</c:v>
                </c:pt>
                <c:pt idx="25">
                  <c:v>39</c:v>
                </c:pt>
                <c:pt idx="26">
                  <c:v>32</c:v>
                </c:pt>
                <c:pt idx="27">
                  <c:v>56</c:v>
                </c:pt>
                <c:pt idx="28">
                  <c:v>39</c:v>
                </c:pt>
                <c:pt idx="29">
                  <c:v>82</c:v>
                </c:pt>
                <c:pt idx="30">
                  <c:v>70</c:v>
                </c:pt>
                <c:pt idx="31">
                  <c:v>57</c:v>
                </c:pt>
                <c:pt idx="32">
                  <c:v>57</c:v>
                </c:pt>
                <c:pt idx="33">
                  <c:v>29</c:v>
                </c:pt>
                <c:pt idx="34">
                  <c:v>55</c:v>
                </c:pt>
                <c:pt idx="35">
                  <c:v>25</c:v>
                </c:pt>
                <c:pt idx="36">
                  <c:v>39</c:v>
                </c:pt>
                <c:pt idx="37">
                  <c:v>61</c:v>
                </c:pt>
                <c:pt idx="38">
                  <c:v>65</c:v>
                </c:pt>
                <c:pt idx="39">
                  <c:v>26</c:v>
                </c:pt>
                <c:pt idx="40">
                  <c:v>60</c:v>
                </c:pt>
                <c:pt idx="41">
                  <c:v>81</c:v>
                </c:pt>
                <c:pt idx="42">
                  <c:v>46</c:v>
                </c:pt>
                <c:pt idx="43">
                  <c:v>59</c:v>
                </c:pt>
                <c:pt idx="44">
                  <c:v>61</c:v>
                </c:pt>
                <c:pt idx="45">
                  <c:v>70</c:v>
                </c:pt>
                <c:pt idx="46">
                  <c:v>58</c:v>
                </c:pt>
                <c:pt idx="47">
                  <c:v>29</c:v>
                </c:pt>
                <c:pt idx="48">
                  <c:v>48</c:v>
                </c:pt>
                <c:pt idx="49">
                  <c:v>75</c:v>
                </c:pt>
                <c:pt idx="50">
                  <c:v>73</c:v>
                </c:pt>
                <c:pt idx="51">
                  <c:v>70</c:v>
                </c:pt>
                <c:pt idx="52">
                  <c:v>24</c:v>
                </c:pt>
                <c:pt idx="53">
                  <c:v>65</c:v>
                </c:pt>
                <c:pt idx="54">
                  <c:v>69</c:v>
                </c:pt>
                <c:pt idx="55">
                  <c:v>19</c:v>
                </c:pt>
                <c:pt idx="56">
                  <c:v>25</c:v>
                </c:pt>
                <c:pt idx="57">
                  <c:v>26</c:v>
                </c:pt>
                <c:pt idx="58">
                  <c:v>54</c:v>
                </c:pt>
                <c:pt idx="59">
                  <c:v>34</c:v>
                </c:pt>
                <c:pt idx="60">
                  <c:v>69</c:v>
                </c:pt>
                <c:pt idx="61">
                  <c:v>19</c:v>
                </c:pt>
                <c:pt idx="62">
                  <c:v>30</c:v>
                </c:pt>
                <c:pt idx="63">
                  <c:v>18</c:v>
                </c:pt>
                <c:pt idx="64">
                  <c:v>58</c:v>
                </c:pt>
                <c:pt idx="65">
                  <c:v>42</c:v>
                </c:pt>
              </c:numCache>
            </c:numRef>
          </c:yVal>
          <c:smooth val="0"/>
          <c:extLst>
            <c:ext xmlns:c16="http://schemas.microsoft.com/office/drawing/2014/chart" uri="{C3380CC4-5D6E-409C-BE32-E72D297353CC}">
              <c16:uniqueId val="{00000000-60A5-4E3F-AC15-ADDF8D35EBA0}"/>
            </c:ext>
          </c:extLst>
        </c:ser>
        <c:dLbls>
          <c:showLegendKey val="0"/>
          <c:showVal val="0"/>
          <c:showCatName val="0"/>
          <c:showSerName val="0"/>
          <c:showPercent val="0"/>
          <c:showBubbleSize val="0"/>
        </c:dLbls>
        <c:axId val="1796650416"/>
        <c:axId val="1796643696"/>
      </c:scatterChart>
      <c:valAx>
        <c:axId val="17966504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Numero</a:t>
                </a:r>
                <a:r>
                  <a:rPr lang="it-IT" baseline="0"/>
                  <a:t> Gatti</a:t>
                </a:r>
                <a:endParaRPr lang="it-IT"/>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796643696"/>
        <c:crosses val="autoZero"/>
        <c:crossBetween val="midCat"/>
      </c:valAx>
      <c:valAx>
        <c:axId val="179664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Età partner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7966504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'(Un)correlated Variables'!$C$1</c:f>
              <c:strCache>
                <c:ptCount val="1"/>
                <c:pt idx="0">
                  <c:v>Età partner</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'(Un)correlated Variables'!$A$2:$A$67</c:f>
              <c:numCache>
                <c:formatCode>General</c:formatCode>
                <c:ptCount val="66"/>
                <c:pt idx="0">
                  <c:v>68</c:v>
                </c:pt>
                <c:pt idx="1">
                  <c:v>28</c:v>
                </c:pt>
                <c:pt idx="2">
                  <c:v>44</c:v>
                </c:pt>
                <c:pt idx="3">
                  <c:v>67</c:v>
                </c:pt>
                <c:pt idx="4">
                  <c:v>33</c:v>
                </c:pt>
                <c:pt idx="5">
                  <c:v>40</c:v>
                </c:pt>
                <c:pt idx="6">
                  <c:v>71</c:v>
                </c:pt>
                <c:pt idx="7">
                  <c:v>60</c:v>
                </c:pt>
                <c:pt idx="8">
                  <c:v>64</c:v>
                </c:pt>
                <c:pt idx="9">
                  <c:v>42</c:v>
                </c:pt>
                <c:pt idx="10">
                  <c:v>53</c:v>
                </c:pt>
                <c:pt idx="11">
                  <c:v>46</c:v>
                </c:pt>
                <c:pt idx="12">
                  <c:v>60</c:v>
                </c:pt>
                <c:pt idx="13">
                  <c:v>43</c:v>
                </c:pt>
                <c:pt idx="14">
                  <c:v>62</c:v>
                </c:pt>
                <c:pt idx="15">
                  <c:v>49</c:v>
                </c:pt>
                <c:pt idx="16">
                  <c:v>50</c:v>
                </c:pt>
                <c:pt idx="17">
                  <c:v>36</c:v>
                </c:pt>
                <c:pt idx="18">
                  <c:v>31</c:v>
                </c:pt>
                <c:pt idx="19">
                  <c:v>70</c:v>
                </c:pt>
                <c:pt idx="20">
                  <c:v>73</c:v>
                </c:pt>
                <c:pt idx="21">
                  <c:v>46</c:v>
                </c:pt>
                <c:pt idx="22">
                  <c:v>26</c:v>
                </c:pt>
                <c:pt idx="23">
                  <c:v>54</c:v>
                </c:pt>
                <c:pt idx="24">
                  <c:v>35</c:v>
                </c:pt>
                <c:pt idx="25">
                  <c:v>64</c:v>
                </c:pt>
                <c:pt idx="26">
                  <c:v>37</c:v>
                </c:pt>
                <c:pt idx="27">
                  <c:v>32</c:v>
                </c:pt>
                <c:pt idx="28">
                  <c:v>54</c:v>
                </c:pt>
                <c:pt idx="29">
                  <c:v>36</c:v>
                </c:pt>
                <c:pt idx="30">
                  <c:v>80</c:v>
                </c:pt>
                <c:pt idx="31">
                  <c:v>68</c:v>
                </c:pt>
                <c:pt idx="32">
                  <c:v>56</c:v>
                </c:pt>
                <c:pt idx="33">
                  <c:v>18</c:v>
                </c:pt>
                <c:pt idx="34">
                  <c:v>60</c:v>
                </c:pt>
                <c:pt idx="35">
                  <c:v>32</c:v>
                </c:pt>
                <c:pt idx="36">
                  <c:v>54</c:v>
                </c:pt>
                <c:pt idx="37">
                  <c:v>20</c:v>
                </c:pt>
                <c:pt idx="38">
                  <c:v>25</c:v>
                </c:pt>
                <c:pt idx="39">
                  <c:v>41</c:v>
                </c:pt>
                <c:pt idx="40">
                  <c:v>60</c:v>
                </c:pt>
                <c:pt idx="41">
                  <c:v>68</c:v>
                </c:pt>
                <c:pt idx="42">
                  <c:v>29</c:v>
                </c:pt>
                <c:pt idx="43">
                  <c:v>63</c:v>
                </c:pt>
                <c:pt idx="44">
                  <c:v>80</c:v>
                </c:pt>
                <c:pt idx="45">
                  <c:v>47</c:v>
                </c:pt>
                <c:pt idx="46">
                  <c:v>56</c:v>
                </c:pt>
                <c:pt idx="47">
                  <c:v>58</c:v>
                </c:pt>
                <c:pt idx="48">
                  <c:v>72</c:v>
                </c:pt>
                <c:pt idx="49">
                  <c:v>59</c:v>
                </c:pt>
                <c:pt idx="50">
                  <c:v>56</c:v>
                </c:pt>
                <c:pt idx="51">
                  <c:v>31</c:v>
                </c:pt>
                <c:pt idx="52">
                  <c:v>50</c:v>
                </c:pt>
                <c:pt idx="53">
                  <c:v>20</c:v>
                </c:pt>
                <c:pt idx="54">
                  <c:v>76</c:v>
                </c:pt>
                <c:pt idx="55">
                  <c:v>74</c:v>
                </c:pt>
                <c:pt idx="56">
                  <c:v>69</c:v>
                </c:pt>
                <c:pt idx="57">
                  <c:v>22</c:v>
                </c:pt>
                <c:pt idx="58">
                  <c:v>23</c:v>
                </c:pt>
                <c:pt idx="59">
                  <c:v>66</c:v>
                </c:pt>
                <c:pt idx="60">
                  <c:v>70</c:v>
                </c:pt>
                <c:pt idx="61">
                  <c:v>22</c:v>
                </c:pt>
                <c:pt idx="62">
                  <c:v>25</c:v>
                </c:pt>
                <c:pt idx="63">
                  <c:v>23</c:v>
                </c:pt>
                <c:pt idx="64">
                  <c:v>57</c:v>
                </c:pt>
                <c:pt idx="65">
                  <c:v>37</c:v>
                </c:pt>
              </c:numCache>
            </c:numRef>
          </c:xVal>
          <c:yVal>
            <c:numRef>
              <c:f>'(Un)correlated Variables'!$C$2:$C$67</c:f>
              <c:numCache>
                <c:formatCode>General</c:formatCode>
                <c:ptCount val="66"/>
                <c:pt idx="0">
                  <c:v>67</c:v>
                </c:pt>
                <c:pt idx="1">
                  <c:v>32</c:v>
                </c:pt>
                <c:pt idx="2">
                  <c:v>44</c:v>
                </c:pt>
                <c:pt idx="3">
                  <c:v>68</c:v>
                </c:pt>
                <c:pt idx="4">
                  <c:v>32</c:v>
                </c:pt>
                <c:pt idx="5">
                  <c:v>43</c:v>
                </c:pt>
                <c:pt idx="6">
                  <c:v>70</c:v>
                </c:pt>
                <c:pt idx="7">
                  <c:v>57</c:v>
                </c:pt>
                <c:pt idx="8">
                  <c:v>62</c:v>
                </c:pt>
                <c:pt idx="9">
                  <c:v>41</c:v>
                </c:pt>
                <c:pt idx="10">
                  <c:v>52</c:v>
                </c:pt>
                <c:pt idx="11">
                  <c:v>48</c:v>
                </c:pt>
                <c:pt idx="12">
                  <c:v>57</c:v>
                </c:pt>
                <c:pt idx="13">
                  <c:v>42</c:v>
                </c:pt>
                <c:pt idx="14">
                  <c:v>61</c:v>
                </c:pt>
                <c:pt idx="15">
                  <c:v>52</c:v>
                </c:pt>
                <c:pt idx="16">
                  <c:v>47</c:v>
                </c:pt>
                <c:pt idx="17">
                  <c:v>36</c:v>
                </c:pt>
                <c:pt idx="18">
                  <c:v>30</c:v>
                </c:pt>
                <c:pt idx="19">
                  <c:v>68</c:v>
                </c:pt>
                <c:pt idx="20">
                  <c:v>75</c:v>
                </c:pt>
                <c:pt idx="21">
                  <c:v>44</c:v>
                </c:pt>
                <c:pt idx="22">
                  <c:v>25</c:v>
                </c:pt>
                <c:pt idx="23">
                  <c:v>32</c:v>
                </c:pt>
                <c:pt idx="24">
                  <c:v>67</c:v>
                </c:pt>
                <c:pt idx="25">
                  <c:v>39</c:v>
                </c:pt>
                <c:pt idx="26">
                  <c:v>32</c:v>
                </c:pt>
                <c:pt idx="27">
                  <c:v>56</c:v>
                </c:pt>
                <c:pt idx="28">
                  <c:v>39</c:v>
                </c:pt>
                <c:pt idx="29">
                  <c:v>82</c:v>
                </c:pt>
                <c:pt idx="30">
                  <c:v>70</c:v>
                </c:pt>
                <c:pt idx="31">
                  <c:v>57</c:v>
                </c:pt>
                <c:pt idx="32">
                  <c:v>57</c:v>
                </c:pt>
                <c:pt idx="33">
                  <c:v>29</c:v>
                </c:pt>
                <c:pt idx="34">
                  <c:v>55</c:v>
                </c:pt>
                <c:pt idx="35">
                  <c:v>25</c:v>
                </c:pt>
                <c:pt idx="36">
                  <c:v>39</c:v>
                </c:pt>
                <c:pt idx="37">
                  <c:v>61</c:v>
                </c:pt>
                <c:pt idx="38">
                  <c:v>65</c:v>
                </c:pt>
                <c:pt idx="39">
                  <c:v>26</c:v>
                </c:pt>
                <c:pt idx="40">
                  <c:v>60</c:v>
                </c:pt>
                <c:pt idx="41">
                  <c:v>81</c:v>
                </c:pt>
                <c:pt idx="42">
                  <c:v>46</c:v>
                </c:pt>
                <c:pt idx="43">
                  <c:v>59</c:v>
                </c:pt>
                <c:pt idx="44">
                  <c:v>61</c:v>
                </c:pt>
                <c:pt idx="45">
                  <c:v>70</c:v>
                </c:pt>
                <c:pt idx="46">
                  <c:v>58</c:v>
                </c:pt>
                <c:pt idx="47">
                  <c:v>29</c:v>
                </c:pt>
                <c:pt idx="48">
                  <c:v>48</c:v>
                </c:pt>
                <c:pt idx="49">
                  <c:v>75</c:v>
                </c:pt>
                <c:pt idx="50">
                  <c:v>73</c:v>
                </c:pt>
                <c:pt idx="51">
                  <c:v>70</c:v>
                </c:pt>
                <c:pt idx="52">
                  <c:v>24</c:v>
                </c:pt>
                <c:pt idx="53">
                  <c:v>65</c:v>
                </c:pt>
                <c:pt idx="54">
                  <c:v>69</c:v>
                </c:pt>
                <c:pt idx="55">
                  <c:v>19</c:v>
                </c:pt>
                <c:pt idx="56">
                  <c:v>25</c:v>
                </c:pt>
                <c:pt idx="57">
                  <c:v>26</c:v>
                </c:pt>
                <c:pt idx="58">
                  <c:v>54</c:v>
                </c:pt>
                <c:pt idx="59">
                  <c:v>34</c:v>
                </c:pt>
                <c:pt idx="60">
                  <c:v>69</c:v>
                </c:pt>
                <c:pt idx="61">
                  <c:v>19</c:v>
                </c:pt>
                <c:pt idx="62">
                  <c:v>30</c:v>
                </c:pt>
                <c:pt idx="63">
                  <c:v>18</c:v>
                </c:pt>
                <c:pt idx="64">
                  <c:v>58</c:v>
                </c:pt>
                <c:pt idx="65">
                  <c:v>42</c:v>
                </c:pt>
              </c:numCache>
            </c:numRef>
          </c:yVal>
          <c:smooth val="0"/>
          <c:extLst>
            <c:ext xmlns:c16="http://schemas.microsoft.com/office/drawing/2014/chart" uri="{C3380CC4-5D6E-409C-BE32-E72D297353CC}">
              <c16:uniqueId val="{00000001-7823-4AF0-93AD-608D1E2B3BC4}"/>
            </c:ext>
          </c:extLst>
        </c:ser>
        <c:dLbls>
          <c:showLegendKey val="0"/>
          <c:showVal val="0"/>
          <c:showCatName val="0"/>
          <c:showSerName val="0"/>
          <c:showPercent val="0"/>
          <c:showBubbleSize val="0"/>
        </c:dLbls>
        <c:axId val="1521199311"/>
        <c:axId val="1521194511"/>
      </c:scatterChart>
      <c:valAx>
        <c:axId val="15211993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baseline="0"/>
                  <a:t>Sample data (età)</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521194511"/>
        <c:crosses val="autoZero"/>
        <c:crossBetween val="midCat"/>
      </c:valAx>
      <c:valAx>
        <c:axId val="1521194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Età partner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5211993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Relazione tra età e ordine di censimento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Pt>
            <c:idx val="159"/>
            <c:marker>
              <c:symbol val="circle"/>
              <c:size val="5"/>
              <c:spPr>
                <a:solidFill>
                  <a:srgbClr val="FF0000"/>
                </a:solidFill>
                <a:ln w="9525">
                  <a:solidFill>
                    <a:schemeClr val="accent1"/>
                  </a:solidFill>
                </a:ln>
                <a:effectLst/>
              </c:spPr>
            </c:marker>
            <c:bubble3D val="0"/>
            <c:extLst>
              <c:ext xmlns:c16="http://schemas.microsoft.com/office/drawing/2014/chart" uri="{C3380CC4-5D6E-409C-BE32-E72D297353CC}">
                <c16:uniqueId val="{00000009-F4FE-4B89-A18C-E3368C9A5828}"/>
              </c:ext>
            </c:extLst>
          </c:dPt>
          <c:trendline>
            <c:spPr>
              <a:ln w="19050" cap="rnd">
                <a:solidFill>
                  <a:schemeClr val="accent1"/>
                </a:solidFill>
                <a:prstDash val="sysDot"/>
              </a:ln>
              <a:effectLst/>
            </c:spPr>
            <c:trendlineType val="linear"/>
            <c:dispRSqr val="1"/>
            <c:dispEq val="1"/>
            <c:trendlineLbl>
              <c:layout>
                <c:manualLayout>
                  <c:x val="0.14952362204724409"/>
                  <c:y val="-0.3763786818314377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trendlineLbl>
          </c:trendline>
          <c:xVal>
            <c:numRef>
              <c:f>'Linear Regression'!$A$2:$A$251</c:f>
              <c:numCache>
                <c:formatCode>General</c:formatCode>
                <c:ptCount val="2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numCache>
            </c:numRef>
          </c:xVal>
          <c:yVal>
            <c:numRef>
              <c:f>'Linear Regression'!$B$2:$B$251</c:f>
              <c:numCache>
                <c:formatCode>General</c:formatCode>
                <c:ptCount val="250"/>
                <c:pt idx="0">
                  <c:v>68</c:v>
                </c:pt>
                <c:pt idx="1">
                  <c:v>28</c:v>
                </c:pt>
                <c:pt idx="2">
                  <c:v>44</c:v>
                </c:pt>
                <c:pt idx="3">
                  <c:v>63</c:v>
                </c:pt>
                <c:pt idx="4">
                  <c:v>33</c:v>
                </c:pt>
                <c:pt idx="5">
                  <c:v>34</c:v>
                </c:pt>
                <c:pt idx="6">
                  <c:v>51</c:v>
                </c:pt>
                <c:pt idx="7">
                  <c:v>67</c:v>
                </c:pt>
                <c:pt idx="8">
                  <c:v>78</c:v>
                </c:pt>
                <c:pt idx="9">
                  <c:v>55</c:v>
                </c:pt>
                <c:pt idx="10">
                  <c:v>52</c:v>
                </c:pt>
                <c:pt idx="11">
                  <c:v>23</c:v>
                </c:pt>
                <c:pt idx="12">
                  <c:v>24</c:v>
                </c:pt>
                <c:pt idx="13">
                  <c:v>43</c:v>
                </c:pt>
                <c:pt idx="14">
                  <c:v>70</c:v>
                </c:pt>
                <c:pt idx="15">
                  <c:v>66</c:v>
                </c:pt>
                <c:pt idx="16">
                  <c:v>56</c:v>
                </c:pt>
                <c:pt idx="17">
                  <c:v>23</c:v>
                </c:pt>
                <c:pt idx="18">
                  <c:v>58</c:v>
                </c:pt>
                <c:pt idx="19">
                  <c:v>14</c:v>
                </c:pt>
                <c:pt idx="20">
                  <c:v>62</c:v>
                </c:pt>
                <c:pt idx="21">
                  <c:v>70</c:v>
                </c:pt>
                <c:pt idx="22">
                  <c:v>35</c:v>
                </c:pt>
                <c:pt idx="23">
                  <c:v>33</c:v>
                </c:pt>
                <c:pt idx="24">
                  <c:v>40</c:v>
                </c:pt>
                <c:pt idx="25">
                  <c:v>71</c:v>
                </c:pt>
                <c:pt idx="26">
                  <c:v>73</c:v>
                </c:pt>
                <c:pt idx="27">
                  <c:v>60</c:v>
                </c:pt>
                <c:pt idx="28">
                  <c:v>49</c:v>
                </c:pt>
                <c:pt idx="29">
                  <c:v>64</c:v>
                </c:pt>
                <c:pt idx="30">
                  <c:v>50</c:v>
                </c:pt>
                <c:pt idx="31">
                  <c:v>24</c:v>
                </c:pt>
                <c:pt idx="32">
                  <c:v>36</c:v>
                </c:pt>
                <c:pt idx="33">
                  <c:v>33</c:v>
                </c:pt>
                <c:pt idx="34">
                  <c:v>40</c:v>
                </c:pt>
                <c:pt idx="35">
                  <c:v>42</c:v>
                </c:pt>
                <c:pt idx="36">
                  <c:v>53</c:v>
                </c:pt>
                <c:pt idx="37">
                  <c:v>63</c:v>
                </c:pt>
                <c:pt idx="38">
                  <c:v>37</c:v>
                </c:pt>
                <c:pt idx="39">
                  <c:v>79</c:v>
                </c:pt>
                <c:pt idx="40">
                  <c:v>46</c:v>
                </c:pt>
                <c:pt idx="41">
                  <c:v>46</c:v>
                </c:pt>
                <c:pt idx="42">
                  <c:v>85</c:v>
                </c:pt>
                <c:pt idx="43">
                  <c:v>66</c:v>
                </c:pt>
                <c:pt idx="44">
                  <c:v>60</c:v>
                </c:pt>
                <c:pt idx="45">
                  <c:v>46</c:v>
                </c:pt>
                <c:pt idx="46">
                  <c:v>50</c:v>
                </c:pt>
                <c:pt idx="47">
                  <c:v>29</c:v>
                </c:pt>
                <c:pt idx="48">
                  <c:v>63</c:v>
                </c:pt>
                <c:pt idx="49">
                  <c:v>43</c:v>
                </c:pt>
                <c:pt idx="50">
                  <c:v>42</c:v>
                </c:pt>
                <c:pt idx="51">
                  <c:v>35</c:v>
                </c:pt>
                <c:pt idx="52">
                  <c:v>62</c:v>
                </c:pt>
                <c:pt idx="53">
                  <c:v>61</c:v>
                </c:pt>
                <c:pt idx="54">
                  <c:v>0</c:v>
                </c:pt>
                <c:pt idx="55">
                  <c:v>51</c:v>
                </c:pt>
                <c:pt idx="56">
                  <c:v>48</c:v>
                </c:pt>
                <c:pt idx="57">
                  <c:v>49</c:v>
                </c:pt>
                <c:pt idx="58">
                  <c:v>49</c:v>
                </c:pt>
                <c:pt idx="59">
                  <c:v>54</c:v>
                </c:pt>
                <c:pt idx="60">
                  <c:v>9</c:v>
                </c:pt>
                <c:pt idx="61">
                  <c:v>50</c:v>
                </c:pt>
                <c:pt idx="62">
                  <c:v>50</c:v>
                </c:pt>
                <c:pt idx="63">
                  <c:v>29</c:v>
                </c:pt>
                <c:pt idx="64">
                  <c:v>21</c:v>
                </c:pt>
                <c:pt idx="65">
                  <c:v>62</c:v>
                </c:pt>
                <c:pt idx="66">
                  <c:v>36</c:v>
                </c:pt>
                <c:pt idx="67">
                  <c:v>31</c:v>
                </c:pt>
                <c:pt idx="68">
                  <c:v>70</c:v>
                </c:pt>
                <c:pt idx="69">
                  <c:v>73</c:v>
                </c:pt>
                <c:pt idx="70">
                  <c:v>64</c:v>
                </c:pt>
                <c:pt idx="71">
                  <c:v>21</c:v>
                </c:pt>
                <c:pt idx="72">
                  <c:v>63</c:v>
                </c:pt>
                <c:pt idx="73">
                  <c:v>42</c:v>
                </c:pt>
                <c:pt idx="74">
                  <c:v>6</c:v>
                </c:pt>
                <c:pt idx="75">
                  <c:v>56</c:v>
                </c:pt>
                <c:pt idx="76">
                  <c:v>53</c:v>
                </c:pt>
                <c:pt idx="77">
                  <c:v>46</c:v>
                </c:pt>
                <c:pt idx="78">
                  <c:v>47</c:v>
                </c:pt>
                <c:pt idx="79">
                  <c:v>26</c:v>
                </c:pt>
                <c:pt idx="80">
                  <c:v>13</c:v>
                </c:pt>
                <c:pt idx="81">
                  <c:v>73</c:v>
                </c:pt>
                <c:pt idx="82">
                  <c:v>51</c:v>
                </c:pt>
                <c:pt idx="83">
                  <c:v>20</c:v>
                </c:pt>
                <c:pt idx="84">
                  <c:v>89</c:v>
                </c:pt>
                <c:pt idx="85">
                  <c:v>27</c:v>
                </c:pt>
                <c:pt idx="86">
                  <c:v>66</c:v>
                </c:pt>
                <c:pt idx="87">
                  <c:v>54</c:v>
                </c:pt>
                <c:pt idx="88">
                  <c:v>35</c:v>
                </c:pt>
                <c:pt idx="89">
                  <c:v>64</c:v>
                </c:pt>
                <c:pt idx="90">
                  <c:v>37</c:v>
                </c:pt>
                <c:pt idx="91">
                  <c:v>36</c:v>
                </c:pt>
                <c:pt idx="92">
                  <c:v>40</c:v>
                </c:pt>
                <c:pt idx="93">
                  <c:v>43</c:v>
                </c:pt>
                <c:pt idx="94">
                  <c:v>78</c:v>
                </c:pt>
                <c:pt idx="95">
                  <c:v>48</c:v>
                </c:pt>
                <c:pt idx="96">
                  <c:v>64</c:v>
                </c:pt>
                <c:pt idx="97">
                  <c:v>40</c:v>
                </c:pt>
                <c:pt idx="98">
                  <c:v>47</c:v>
                </c:pt>
                <c:pt idx="99">
                  <c:v>60</c:v>
                </c:pt>
                <c:pt idx="100">
                  <c:v>33</c:v>
                </c:pt>
                <c:pt idx="101">
                  <c:v>52</c:v>
                </c:pt>
                <c:pt idx="102">
                  <c:v>30</c:v>
                </c:pt>
                <c:pt idx="103">
                  <c:v>70</c:v>
                </c:pt>
                <c:pt idx="104">
                  <c:v>68</c:v>
                </c:pt>
                <c:pt idx="105">
                  <c:v>61</c:v>
                </c:pt>
                <c:pt idx="106">
                  <c:v>37</c:v>
                </c:pt>
                <c:pt idx="107">
                  <c:v>39</c:v>
                </c:pt>
                <c:pt idx="108">
                  <c:v>62</c:v>
                </c:pt>
                <c:pt idx="109">
                  <c:v>21</c:v>
                </c:pt>
                <c:pt idx="110">
                  <c:v>26</c:v>
                </c:pt>
                <c:pt idx="111">
                  <c:v>100</c:v>
                </c:pt>
                <c:pt idx="112">
                  <c:v>25</c:v>
                </c:pt>
                <c:pt idx="113">
                  <c:v>37</c:v>
                </c:pt>
                <c:pt idx="114">
                  <c:v>21</c:v>
                </c:pt>
                <c:pt idx="115">
                  <c:v>32</c:v>
                </c:pt>
                <c:pt idx="116">
                  <c:v>58</c:v>
                </c:pt>
                <c:pt idx="117">
                  <c:v>54</c:v>
                </c:pt>
                <c:pt idx="118">
                  <c:v>36</c:v>
                </c:pt>
                <c:pt idx="119">
                  <c:v>59</c:v>
                </c:pt>
                <c:pt idx="120">
                  <c:v>65</c:v>
                </c:pt>
                <c:pt idx="121">
                  <c:v>12</c:v>
                </c:pt>
                <c:pt idx="122">
                  <c:v>20</c:v>
                </c:pt>
                <c:pt idx="123">
                  <c:v>55</c:v>
                </c:pt>
                <c:pt idx="124">
                  <c:v>80</c:v>
                </c:pt>
                <c:pt idx="125">
                  <c:v>68</c:v>
                </c:pt>
                <c:pt idx="126">
                  <c:v>22</c:v>
                </c:pt>
                <c:pt idx="127">
                  <c:v>11</c:v>
                </c:pt>
                <c:pt idx="128">
                  <c:v>56</c:v>
                </c:pt>
                <c:pt idx="129">
                  <c:v>18</c:v>
                </c:pt>
                <c:pt idx="130">
                  <c:v>10</c:v>
                </c:pt>
                <c:pt idx="131">
                  <c:v>59</c:v>
                </c:pt>
                <c:pt idx="132">
                  <c:v>64</c:v>
                </c:pt>
                <c:pt idx="133">
                  <c:v>60</c:v>
                </c:pt>
                <c:pt idx="134">
                  <c:v>69</c:v>
                </c:pt>
                <c:pt idx="135">
                  <c:v>88</c:v>
                </c:pt>
                <c:pt idx="136">
                  <c:v>45</c:v>
                </c:pt>
                <c:pt idx="137">
                  <c:v>100</c:v>
                </c:pt>
                <c:pt idx="138">
                  <c:v>40</c:v>
                </c:pt>
                <c:pt idx="139">
                  <c:v>0</c:v>
                </c:pt>
                <c:pt idx="140">
                  <c:v>36</c:v>
                </c:pt>
                <c:pt idx="141">
                  <c:v>32</c:v>
                </c:pt>
                <c:pt idx="142">
                  <c:v>54</c:v>
                </c:pt>
                <c:pt idx="143">
                  <c:v>28</c:v>
                </c:pt>
                <c:pt idx="144">
                  <c:v>55</c:v>
                </c:pt>
                <c:pt idx="145">
                  <c:v>50</c:v>
                </c:pt>
                <c:pt idx="146">
                  <c:v>20</c:v>
                </c:pt>
                <c:pt idx="147">
                  <c:v>32</c:v>
                </c:pt>
                <c:pt idx="148">
                  <c:v>21</c:v>
                </c:pt>
                <c:pt idx="149">
                  <c:v>81</c:v>
                </c:pt>
                <c:pt idx="150">
                  <c:v>34</c:v>
                </c:pt>
                <c:pt idx="151">
                  <c:v>25</c:v>
                </c:pt>
                <c:pt idx="152">
                  <c:v>35</c:v>
                </c:pt>
                <c:pt idx="153">
                  <c:v>27</c:v>
                </c:pt>
                <c:pt idx="154">
                  <c:v>41</c:v>
                </c:pt>
                <c:pt idx="155">
                  <c:v>64</c:v>
                </c:pt>
                <c:pt idx="156">
                  <c:v>41</c:v>
                </c:pt>
                <c:pt idx="157">
                  <c:v>60</c:v>
                </c:pt>
                <c:pt idx="158">
                  <c:v>25</c:v>
                </c:pt>
                <c:pt idx="159">
                  <c:v>55</c:v>
                </c:pt>
                <c:pt idx="160">
                  <c:v>24</c:v>
                </c:pt>
                <c:pt idx="161">
                  <c:v>68</c:v>
                </c:pt>
                <c:pt idx="162">
                  <c:v>14</c:v>
                </c:pt>
                <c:pt idx="163">
                  <c:v>46</c:v>
                </c:pt>
                <c:pt idx="164">
                  <c:v>29</c:v>
                </c:pt>
                <c:pt idx="165">
                  <c:v>53</c:v>
                </c:pt>
                <c:pt idx="166">
                  <c:v>37</c:v>
                </c:pt>
                <c:pt idx="167">
                  <c:v>63</c:v>
                </c:pt>
                <c:pt idx="168">
                  <c:v>80</c:v>
                </c:pt>
                <c:pt idx="169">
                  <c:v>24</c:v>
                </c:pt>
                <c:pt idx="170">
                  <c:v>74</c:v>
                </c:pt>
                <c:pt idx="171">
                  <c:v>47</c:v>
                </c:pt>
                <c:pt idx="172">
                  <c:v>5</c:v>
                </c:pt>
                <c:pt idx="173">
                  <c:v>63</c:v>
                </c:pt>
                <c:pt idx="174">
                  <c:v>56</c:v>
                </c:pt>
                <c:pt idx="175">
                  <c:v>54</c:v>
                </c:pt>
                <c:pt idx="176">
                  <c:v>47</c:v>
                </c:pt>
                <c:pt idx="177">
                  <c:v>49</c:v>
                </c:pt>
                <c:pt idx="178">
                  <c:v>0</c:v>
                </c:pt>
                <c:pt idx="179">
                  <c:v>58</c:v>
                </c:pt>
                <c:pt idx="180">
                  <c:v>72</c:v>
                </c:pt>
                <c:pt idx="181">
                  <c:v>59</c:v>
                </c:pt>
                <c:pt idx="182">
                  <c:v>50</c:v>
                </c:pt>
                <c:pt idx="183">
                  <c:v>56</c:v>
                </c:pt>
                <c:pt idx="184">
                  <c:v>31</c:v>
                </c:pt>
                <c:pt idx="185">
                  <c:v>44</c:v>
                </c:pt>
                <c:pt idx="186">
                  <c:v>43</c:v>
                </c:pt>
                <c:pt idx="187">
                  <c:v>50</c:v>
                </c:pt>
                <c:pt idx="188">
                  <c:v>58</c:v>
                </c:pt>
                <c:pt idx="189">
                  <c:v>10</c:v>
                </c:pt>
                <c:pt idx="190">
                  <c:v>34</c:v>
                </c:pt>
                <c:pt idx="191">
                  <c:v>5</c:v>
                </c:pt>
                <c:pt idx="192">
                  <c:v>73</c:v>
                </c:pt>
                <c:pt idx="193">
                  <c:v>84</c:v>
                </c:pt>
                <c:pt idx="194">
                  <c:v>46</c:v>
                </c:pt>
                <c:pt idx="195">
                  <c:v>51</c:v>
                </c:pt>
                <c:pt idx="196">
                  <c:v>75</c:v>
                </c:pt>
                <c:pt idx="197">
                  <c:v>20</c:v>
                </c:pt>
                <c:pt idx="198">
                  <c:v>50</c:v>
                </c:pt>
                <c:pt idx="199">
                  <c:v>22</c:v>
                </c:pt>
                <c:pt idx="200">
                  <c:v>76</c:v>
                </c:pt>
                <c:pt idx="201">
                  <c:v>47</c:v>
                </c:pt>
                <c:pt idx="202">
                  <c:v>74</c:v>
                </c:pt>
                <c:pt idx="203">
                  <c:v>57</c:v>
                </c:pt>
                <c:pt idx="204">
                  <c:v>96</c:v>
                </c:pt>
                <c:pt idx="205">
                  <c:v>69</c:v>
                </c:pt>
                <c:pt idx="206">
                  <c:v>21</c:v>
                </c:pt>
                <c:pt idx="207">
                  <c:v>56</c:v>
                </c:pt>
                <c:pt idx="208">
                  <c:v>30</c:v>
                </c:pt>
                <c:pt idx="209">
                  <c:v>22</c:v>
                </c:pt>
                <c:pt idx="210">
                  <c:v>36</c:v>
                </c:pt>
                <c:pt idx="211">
                  <c:v>24</c:v>
                </c:pt>
                <c:pt idx="212">
                  <c:v>75</c:v>
                </c:pt>
                <c:pt idx="213">
                  <c:v>32</c:v>
                </c:pt>
                <c:pt idx="214">
                  <c:v>55</c:v>
                </c:pt>
                <c:pt idx="215">
                  <c:v>23</c:v>
                </c:pt>
                <c:pt idx="216">
                  <c:v>66</c:v>
                </c:pt>
                <c:pt idx="217">
                  <c:v>52</c:v>
                </c:pt>
                <c:pt idx="218">
                  <c:v>48</c:v>
                </c:pt>
                <c:pt idx="219">
                  <c:v>39</c:v>
                </c:pt>
                <c:pt idx="220">
                  <c:v>57</c:v>
                </c:pt>
                <c:pt idx="221">
                  <c:v>70</c:v>
                </c:pt>
                <c:pt idx="222">
                  <c:v>71</c:v>
                </c:pt>
                <c:pt idx="223">
                  <c:v>39</c:v>
                </c:pt>
                <c:pt idx="224">
                  <c:v>40</c:v>
                </c:pt>
                <c:pt idx="225">
                  <c:v>29</c:v>
                </c:pt>
                <c:pt idx="226">
                  <c:v>22</c:v>
                </c:pt>
                <c:pt idx="227">
                  <c:v>64</c:v>
                </c:pt>
                <c:pt idx="228">
                  <c:v>36</c:v>
                </c:pt>
                <c:pt idx="229">
                  <c:v>66</c:v>
                </c:pt>
                <c:pt idx="230">
                  <c:v>51</c:v>
                </c:pt>
                <c:pt idx="231">
                  <c:v>47</c:v>
                </c:pt>
                <c:pt idx="232">
                  <c:v>49</c:v>
                </c:pt>
                <c:pt idx="233">
                  <c:v>24</c:v>
                </c:pt>
                <c:pt idx="234">
                  <c:v>74</c:v>
                </c:pt>
                <c:pt idx="235">
                  <c:v>26</c:v>
                </c:pt>
                <c:pt idx="236">
                  <c:v>32</c:v>
                </c:pt>
                <c:pt idx="237">
                  <c:v>25</c:v>
                </c:pt>
                <c:pt idx="238">
                  <c:v>23</c:v>
                </c:pt>
                <c:pt idx="239">
                  <c:v>44</c:v>
                </c:pt>
                <c:pt idx="240">
                  <c:v>75</c:v>
                </c:pt>
                <c:pt idx="241">
                  <c:v>39</c:v>
                </c:pt>
                <c:pt idx="242">
                  <c:v>63</c:v>
                </c:pt>
                <c:pt idx="243">
                  <c:v>53</c:v>
                </c:pt>
                <c:pt idx="244">
                  <c:v>88</c:v>
                </c:pt>
                <c:pt idx="245">
                  <c:v>36</c:v>
                </c:pt>
                <c:pt idx="246">
                  <c:v>53</c:v>
                </c:pt>
                <c:pt idx="247">
                  <c:v>57</c:v>
                </c:pt>
                <c:pt idx="248">
                  <c:v>50</c:v>
                </c:pt>
                <c:pt idx="249">
                  <c:v>37</c:v>
                </c:pt>
              </c:numCache>
            </c:numRef>
          </c:y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F4FE-4B89-A18C-E3368C9A5828}"/>
            </c:ext>
          </c:extLst>
        </c:ser>
        <c:dLbls>
          <c:showLegendKey val="0"/>
          <c:showVal val="0"/>
          <c:showCatName val="0"/>
          <c:showSerName val="0"/>
          <c:showPercent val="0"/>
          <c:showBubbleSize val="0"/>
        </c:dLbls>
        <c:axId val="949913023"/>
        <c:axId val="949911103"/>
      </c:scatterChart>
      <c:valAx>
        <c:axId val="949913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949911103"/>
        <c:crosses val="autoZero"/>
        <c:crossBetween val="midCat"/>
      </c:valAx>
      <c:valAx>
        <c:axId val="94991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9499130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Note di utilizzo'!A1"/><Relationship Id="rId3" Type="http://schemas.openxmlformats.org/officeDocument/2006/relationships/hyperlink" Target="#Sample_filter!A1"/><Relationship Id="rId7" Type="http://schemas.openxmlformats.org/officeDocument/2006/relationships/hyperlink" Target="#'Linear Regression'!A1"/><Relationship Id="rId2" Type="http://schemas.openxmlformats.org/officeDocument/2006/relationships/hyperlink" Target="#Data!A1"/><Relationship Id="rId1" Type="http://schemas.openxmlformats.org/officeDocument/2006/relationships/hyperlink" Target="#Parameters!A1"/><Relationship Id="rId6" Type="http://schemas.openxmlformats.org/officeDocument/2006/relationships/hyperlink" Target="#'(Un)correlated Variables'!A1"/><Relationship Id="rId5" Type="http://schemas.openxmlformats.org/officeDocument/2006/relationships/hyperlink" Target="#'Statistical Insight'!A1"/><Relationship Id="rId4" Type="http://schemas.openxmlformats.org/officeDocument/2006/relationships/hyperlink" Target="#Sample_if!A1"/></Relationships>
</file>

<file path=xl/drawings/_rels/drawing2.xml.rels><?xml version="1.0" encoding="UTF-8" standalone="yes"?>
<Relationships xmlns="http://schemas.openxmlformats.org/package/2006/relationships"><Relationship Id="rId1" Type="http://schemas.openxmlformats.org/officeDocument/2006/relationships/hyperlink" Target="#Indice!A1"/></Relationships>
</file>

<file path=xl/drawings/_rels/drawing3.xml.rels><?xml version="1.0" encoding="UTF-8" standalone="yes"?>
<Relationships xmlns="http://schemas.openxmlformats.org/package/2006/relationships"><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1" Type="http://schemas.openxmlformats.org/officeDocument/2006/relationships/hyperlink" Target="#Indice!A1"/></Relationships>
</file>

<file path=xl/drawings/_rels/drawing5.xml.rels><?xml version="1.0" encoding="UTF-8" standalone="yes"?>
<Relationships xmlns="http://schemas.openxmlformats.org/package/2006/relationships"><Relationship Id="rId1" Type="http://schemas.openxmlformats.org/officeDocument/2006/relationships/hyperlink" Target="#Indice!A1"/></Relationships>
</file>

<file path=xl/drawings/_rels/drawing6.xml.rels><?xml version="1.0" encoding="UTF-8" standalone="yes"?>
<Relationships xmlns="http://schemas.openxmlformats.org/package/2006/relationships"><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hyperlink" Target="#Indice!A1"/></Relationships>
</file>

<file path=xl/drawings/_rels/drawing8.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twoCellAnchor>
    <xdr:from>
      <xdr:col>12</xdr:col>
      <xdr:colOff>304800</xdr:colOff>
      <xdr:row>13</xdr:row>
      <xdr:rowOff>133350</xdr:rowOff>
    </xdr:from>
    <xdr:to>
      <xdr:col>16</xdr:col>
      <xdr:colOff>533399</xdr:colOff>
      <xdr:row>16</xdr:row>
      <xdr:rowOff>152400</xdr:rowOff>
    </xdr:to>
    <xdr:sp macro="" textlink="">
      <xdr:nvSpPr>
        <xdr:cNvPr id="2" name="Rettangolo con angoli arrotondati 1">
          <a:extLst>
            <a:ext uri="{FF2B5EF4-FFF2-40B4-BE49-F238E27FC236}">
              <a16:creationId xmlns:a16="http://schemas.microsoft.com/office/drawing/2014/main" id="{CFE0A894-AC25-4A82-A2AD-625B705ED4B5}"/>
            </a:ext>
          </a:extLst>
        </xdr:cNvPr>
        <xdr:cNvSpPr/>
      </xdr:nvSpPr>
      <xdr:spPr>
        <a:xfrm>
          <a:off x="7620000" y="2609850"/>
          <a:ext cx="2666999" cy="590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2800"/>
            <a:t>Indice interattivo</a:t>
          </a:r>
        </a:p>
      </xdr:txBody>
    </xdr:sp>
    <xdr:clientData/>
  </xdr:twoCellAnchor>
  <xdr:twoCellAnchor>
    <xdr:from>
      <xdr:col>13</xdr:col>
      <xdr:colOff>114299</xdr:colOff>
      <xdr:row>17</xdr:row>
      <xdr:rowOff>76200</xdr:rowOff>
    </xdr:from>
    <xdr:to>
      <xdr:col>16</xdr:col>
      <xdr:colOff>200024</xdr:colOff>
      <xdr:row>19</xdr:row>
      <xdr:rowOff>9525</xdr:rowOff>
    </xdr:to>
    <xdr:sp macro="" textlink="">
      <xdr:nvSpPr>
        <xdr:cNvPr id="3" name="Rettangolo con angoli arrotondati 2">
          <a:hlinkClick xmlns:r="http://schemas.openxmlformats.org/officeDocument/2006/relationships" r:id="rId1"/>
          <a:extLst>
            <a:ext uri="{FF2B5EF4-FFF2-40B4-BE49-F238E27FC236}">
              <a16:creationId xmlns:a16="http://schemas.microsoft.com/office/drawing/2014/main" id="{6A1FD710-E829-4216-ADFC-D0ADA33E10E8}"/>
            </a:ext>
          </a:extLst>
        </xdr:cNvPr>
        <xdr:cNvSpPr/>
      </xdr:nvSpPr>
      <xdr:spPr>
        <a:xfrm>
          <a:off x="8039099" y="3314700"/>
          <a:ext cx="1914525" cy="314325"/>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it-IT" sz="1200">
              <a:solidFill>
                <a:schemeClr val="lt1"/>
              </a:solidFill>
              <a:latin typeface="+mn-lt"/>
              <a:ea typeface="+mn-ea"/>
              <a:cs typeface="+mn-cs"/>
            </a:rPr>
            <a:t>Parameters</a:t>
          </a:r>
        </a:p>
      </xdr:txBody>
    </xdr:sp>
    <xdr:clientData/>
  </xdr:twoCellAnchor>
  <xdr:twoCellAnchor>
    <xdr:from>
      <xdr:col>13</xdr:col>
      <xdr:colOff>104775</xdr:colOff>
      <xdr:row>19</xdr:row>
      <xdr:rowOff>133350</xdr:rowOff>
    </xdr:from>
    <xdr:to>
      <xdr:col>16</xdr:col>
      <xdr:colOff>190500</xdr:colOff>
      <xdr:row>21</xdr:row>
      <xdr:rowOff>66675</xdr:rowOff>
    </xdr:to>
    <xdr:sp macro="" textlink="">
      <xdr:nvSpPr>
        <xdr:cNvPr id="4" name="Rettangolo con angoli arrotondati 3">
          <a:hlinkClick xmlns:r="http://schemas.openxmlformats.org/officeDocument/2006/relationships" r:id="rId2"/>
          <a:extLst>
            <a:ext uri="{FF2B5EF4-FFF2-40B4-BE49-F238E27FC236}">
              <a16:creationId xmlns:a16="http://schemas.microsoft.com/office/drawing/2014/main" id="{E8481E8C-4348-4A41-AC12-8B4C06A4A310}"/>
            </a:ext>
          </a:extLst>
        </xdr:cNvPr>
        <xdr:cNvSpPr/>
      </xdr:nvSpPr>
      <xdr:spPr>
        <a:xfrm>
          <a:off x="8029575" y="3752850"/>
          <a:ext cx="1914525" cy="314325"/>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200"/>
            <a:t>Data</a:t>
          </a:r>
        </a:p>
      </xdr:txBody>
    </xdr:sp>
    <xdr:clientData/>
  </xdr:twoCellAnchor>
  <xdr:twoCellAnchor>
    <xdr:from>
      <xdr:col>13</xdr:col>
      <xdr:colOff>95250</xdr:colOff>
      <xdr:row>21</xdr:row>
      <xdr:rowOff>171450</xdr:rowOff>
    </xdr:from>
    <xdr:to>
      <xdr:col>16</xdr:col>
      <xdr:colOff>180975</xdr:colOff>
      <xdr:row>23</xdr:row>
      <xdr:rowOff>104775</xdr:rowOff>
    </xdr:to>
    <xdr:sp macro="" textlink="">
      <xdr:nvSpPr>
        <xdr:cNvPr id="5" name="Rettangolo con angoli arrotondati 4">
          <a:hlinkClick xmlns:r="http://schemas.openxmlformats.org/officeDocument/2006/relationships" r:id="rId3"/>
          <a:extLst>
            <a:ext uri="{FF2B5EF4-FFF2-40B4-BE49-F238E27FC236}">
              <a16:creationId xmlns:a16="http://schemas.microsoft.com/office/drawing/2014/main" id="{5EC72087-FD55-4DB1-A024-60FA298EC31C}"/>
            </a:ext>
          </a:extLst>
        </xdr:cNvPr>
        <xdr:cNvSpPr/>
      </xdr:nvSpPr>
      <xdr:spPr>
        <a:xfrm>
          <a:off x="8020050" y="4171950"/>
          <a:ext cx="1914525" cy="314325"/>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200"/>
            <a:t>Sample_filter</a:t>
          </a:r>
        </a:p>
      </xdr:txBody>
    </xdr:sp>
    <xdr:clientData/>
  </xdr:twoCellAnchor>
  <xdr:twoCellAnchor>
    <xdr:from>
      <xdr:col>13</xdr:col>
      <xdr:colOff>95250</xdr:colOff>
      <xdr:row>24</xdr:row>
      <xdr:rowOff>19050</xdr:rowOff>
    </xdr:from>
    <xdr:to>
      <xdr:col>16</xdr:col>
      <xdr:colOff>180975</xdr:colOff>
      <xdr:row>25</xdr:row>
      <xdr:rowOff>142875</xdr:rowOff>
    </xdr:to>
    <xdr:sp macro="" textlink="">
      <xdr:nvSpPr>
        <xdr:cNvPr id="6" name="Rettangolo con angoli arrotondati 5">
          <a:hlinkClick xmlns:r="http://schemas.openxmlformats.org/officeDocument/2006/relationships" r:id="rId4"/>
          <a:extLst>
            <a:ext uri="{FF2B5EF4-FFF2-40B4-BE49-F238E27FC236}">
              <a16:creationId xmlns:a16="http://schemas.microsoft.com/office/drawing/2014/main" id="{4AF9B8FC-13C4-44BA-88C2-A10B6CEBDDB1}"/>
            </a:ext>
          </a:extLst>
        </xdr:cNvPr>
        <xdr:cNvSpPr/>
      </xdr:nvSpPr>
      <xdr:spPr>
        <a:xfrm>
          <a:off x="8020050" y="4591050"/>
          <a:ext cx="1914525" cy="314325"/>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200"/>
            <a:t>Sample_if</a:t>
          </a:r>
        </a:p>
      </xdr:txBody>
    </xdr:sp>
    <xdr:clientData/>
  </xdr:twoCellAnchor>
  <xdr:twoCellAnchor>
    <xdr:from>
      <xdr:col>13</xdr:col>
      <xdr:colOff>104775</xdr:colOff>
      <xdr:row>26</xdr:row>
      <xdr:rowOff>57150</xdr:rowOff>
    </xdr:from>
    <xdr:to>
      <xdr:col>16</xdr:col>
      <xdr:colOff>190500</xdr:colOff>
      <xdr:row>27</xdr:row>
      <xdr:rowOff>180975</xdr:rowOff>
    </xdr:to>
    <xdr:sp macro="" textlink="">
      <xdr:nvSpPr>
        <xdr:cNvPr id="7" name="Rettangolo con angoli arrotondati 6">
          <a:hlinkClick xmlns:r="http://schemas.openxmlformats.org/officeDocument/2006/relationships" r:id="rId5"/>
          <a:extLst>
            <a:ext uri="{FF2B5EF4-FFF2-40B4-BE49-F238E27FC236}">
              <a16:creationId xmlns:a16="http://schemas.microsoft.com/office/drawing/2014/main" id="{23E27E8E-8C89-4000-AEF2-CBEEB25E4AE6}"/>
            </a:ext>
          </a:extLst>
        </xdr:cNvPr>
        <xdr:cNvSpPr/>
      </xdr:nvSpPr>
      <xdr:spPr>
        <a:xfrm>
          <a:off x="8029575" y="5010150"/>
          <a:ext cx="1914525" cy="314325"/>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200"/>
            <a:t>Statistical</a:t>
          </a:r>
          <a:r>
            <a:rPr lang="it-IT" sz="1200" baseline="0"/>
            <a:t> Insight</a:t>
          </a:r>
          <a:endParaRPr lang="it-IT" sz="1200"/>
        </a:p>
      </xdr:txBody>
    </xdr:sp>
    <xdr:clientData/>
  </xdr:twoCellAnchor>
  <xdr:twoCellAnchor>
    <xdr:from>
      <xdr:col>13</xdr:col>
      <xdr:colOff>95250</xdr:colOff>
      <xdr:row>28</xdr:row>
      <xdr:rowOff>66675</xdr:rowOff>
    </xdr:from>
    <xdr:to>
      <xdr:col>16</xdr:col>
      <xdr:colOff>180975</xdr:colOff>
      <xdr:row>30</xdr:row>
      <xdr:rowOff>0</xdr:rowOff>
    </xdr:to>
    <xdr:sp macro="" textlink="">
      <xdr:nvSpPr>
        <xdr:cNvPr id="8" name="Rettangolo con angoli arrotondati 7">
          <a:hlinkClick xmlns:r="http://schemas.openxmlformats.org/officeDocument/2006/relationships" r:id="rId6"/>
          <a:extLst>
            <a:ext uri="{FF2B5EF4-FFF2-40B4-BE49-F238E27FC236}">
              <a16:creationId xmlns:a16="http://schemas.microsoft.com/office/drawing/2014/main" id="{BD65E035-927D-4197-8BE5-356CB23E78A0}"/>
            </a:ext>
          </a:extLst>
        </xdr:cNvPr>
        <xdr:cNvSpPr/>
      </xdr:nvSpPr>
      <xdr:spPr>
        <a:xfrm>
          <a:off x="8020050" y="5400675"/>
          <a:ext cx="1914525" cy="314325"/>
        </a:xfrm>
        <a:prstGeom prst="roundRect">
          <a:avLst>
            <a:gd name="adj" fmla="val 19697"/>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200"/>
            <a:t>(Un)correlated Variables</a:t>
          </a:r>
        </a:p>
      </xdr:txBody>
    </xdr:sp>
    <xdr:clientData/>
  </xdr:twoCellAnchor>
  <xdr:twoCellAnchor>
    <xdr:from>
      <xdr:col>13</xdr:col>
      <xdr:colOff>114300</xdr:colOff>
      <xdr:row>30</xdr:row>
      <xdr:rowOff>76200</xdr:rowOff>
    </xdr:from>
    <xdr:to>
      <xdr:col>16</xdr:col>
      <xdr:colOff>200025</xdr:colOff>
      <xdr:row>32</xdr:row>
      <xdr:rowOff>9525</xdr:rowOff>
    </xdr:to>
    <xdr:sp macro="" textlink="">
      <xdr:nvSpPr>
        <xdr:cNvPr id="9" name="Rettangolo con angoli arrotondati 8">
          <a:hlinkClick xmlns:r="http://schemas.openxmlformats.org/officeDocument/2006/relationships" r:id="rId7"/>
          <a:extLst>
            <a:ext uri="{FF2B5EF4-FFF2-40B4-BE49-F238E27FC236}">
              <a16:creationId xmlns:a16="http://schemas.microsoft.com/office/drawing/2014/main" id="{D4AE6238-A16E-4AFC-A28E-F94770303662}"/>
            </a:ext>
          </a:extLst>
        </xdr:cNvPr>
        <xdr:cNvSpPr/>
      </xdr:nvSpPr>
      <xdr:spPr>
        <a:xfrm>
          <a:off x="8039100" y="5791200"/>
          <a:ext cx="1914525" cy="314325"/>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200"/>
            <a:t>Linear Regression</a:t>
          </a:r>
        </a:p>
      </xdr:txBody>
    </xdr:sp>
    <xdr:clientData/>
  </xdr:twoCellAnchor>
  <xdr:twoCellAnchor>
    <xdr:from>
      <xdr:col>2</xdr:col>
      <xdr:colOff>571500</xdr:colOff>
      <xdr:row>0</xdr:row>
      <xdr:rowOff>133350</xdr:rowOff>
    </xdr:from>
    <xdr:to>
      <xdr:col>27</xdr:col>
      <xdr:colOff>457200</xdr:colOff>
      <xdr:row>13</xdr:row>
      <xdr:rowOff>38100</xdr:rowOff>
    </xdr:to>
    <xdr:sp macro="" textlink="">
      <xdr:nvSpPr>
        <xdr:cNvPr id="11" name="Rettangolo con angoli arrotondati 10">
          <a:extLst>
            <a:ext uri="{FF2B5EF4-FFF2-40B4-BE49-F238E27FC236}">
              <a16:creationId xmlns:a16="http://schemas.microsoft.com/office/drawing/2014/main" id="{DAD6434F-0688-4701-B82A-F3ED566F006C}"/>
            </a:ext>
          </a:extLst>
        </xdr:cNvPr>
        <xdr:cNvSpPr/>
      </xdr:nvSpPr>
      <xdr:spPr>
        <a:xfrm>
          <a:off x="1790700" y="133350"/>
          <a:ext cx="15125700" cy="2381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6600" baseline="0">
              <a:solidFill>
                <a:schemeClr val="lt1"/>
              </a:solidFill>
              <a:effectLst/>
              <a:latin typeface="+mn-lt"/>
              <a:ea typeface="+mn-ea"/>
              <a:cs typeface="+mn-cs"/>
            </a:rPr>
            <a:t>Dati casuali e regressione lineare</a:t>
          </a:r>
        </a:p>
        <a:p>
          <a:pPr algn="l"/>
          <a:r>
            <a:rPr lang="it-IT" sz="1100" baseline="0">
              <a:solidFill>
                <a:schemeClr val="tx2">
                  <a:lumMod val="75000"/>
                  <a:lumOff val="25000"/>
                </a:schemeClr>
              </a:solidFill>
              <a:effectLst/>
              <a:latin typeface="+mn-lt"/>
              <a:ea typeface="+mn-ea"/>
              <a:cs typeface="+mn-cs"/>
            </a:rPr>
            <a:t>(in realtà di un negozio di materiale per ufficio)</a:t>
          </a:r>
          <a:r>
            <a:rPr lang="it-IT" sz="1100" baseline="0">
              <a:solidFill>
                <a:schemeClr val="tx2">
                  <a:lumMod val="75000"/>
                  <a:lumOff val="25000"/>
                </a:schemeClr>
              </a:solidFill>
            </a:rPr>
            <a:t> </a:t>
          </a:r>
          <a:endParaRPr lang="it-IT" sz="1100">
            <a:solidFill>
              <a:schemeClr val="tx2">
                <a:lumMod val="75000"/>
                <a:lumOff val="25000"/>
              </a:schemeClr>
            </a:solidFill>
          </a:endParaRPr>
        </a:p>
      </xdr:txBody>
    </xdr:sp>
    <xdr:clientData/>
  </xdr:twoCellAnchor>
  <xdr:twoCellAnchor>
    <xdr:from>
      <xdr:col>13</xdr:col>
      <xdr:colOff>114300</xdr:colOff>
      <xdr:row>32</xdr:row>
      <xdr:rowOff>85725</xdr:rowOff>
    </xdr:from>
    <xdr:to>
      <xdr:col>16</xdr:col>
      <xdr:colOff>200025</xdr:colOff>
      <xdr:row>34</xdr:row>
      <xdr:rowOff>19050</xdr:rowOff>
    </xdr:to>
    <xdr:sp macro="" textlink="">
      <xdr:nvSpPr>
        <xdr:cNvPr id="12" name="Rettangolo con angoli arrotondati 11">
          <a:hlinkClick xmlns:r="http://schemas.openxmlformats.org/officeDocument/2006/relationships" r:id="rId8"/>
          <a:extLst>
            <a:ext uri="{FF2B5EF4-FFF2-40B4-BE49-F238E27FC236}">
              <a16:creationId xmlns:a16="http://schemas.microsoft.com/office/drawing/2014/main" id="{0C577066-22EE-45A4-9E6E-426669DCB1E2}"/>
            </a:ext>
          </a:extLst>
        </xdr:cNvPr>
        <xdr:cNvSpPr/>
      </xdr:nvSpPr>
      <xdr:spPr>
        <a:xfrm>
          <a:off x="8039100" y="6181725"/>
          <a:ext cx="1914525" cy="314325"/>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1200"/>
            <a:t>Note di utilizzo</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24</xdr:col>
      <xdr:colOff>114301</xdr:colOff>
      <xdr:row>32</xdr:row>
      <xdr:rowOff>133350</xdr:rowOff>
    </xdr:from>
    <xdr:to>
      <xdr:col>27</xdr:col>
      <xdr:colOff>295275</xdr:colOff>
      <xdr:row>35</xdr:row>
      <xdr:rowOff>19050</xdr:rowOff>
    </xdr:to>
    <xdr:sp macro="" textlink="">
      <xdr:nvSpPr>
        <xdr:cNvPr id="2" name="Rettangolo con angoli arrotondati 1">
          <a:hlinkClick xmlns:r="http://schemas.openxmlformats.org/officeDocument/2006/relationships" r:id="rId1"/>
          <a:extLst>
            <a:ext uri="{FF2B5EF4-FFF2-40B4-BE49-F238E27FC236}">
              <a16:creationId xmlns:a16="http://schemas.microsoft.com/office/drawing/2014/main" id="{54EA4403-7173-4815-A2EC-B5AEDA5A9E4B}"/>
            </a:ext>
          </a:extLst>
        </xdr:cNvPr>
        <xdr:cNvSpPr/>
      </xdr:nvSpPr>
      <xdr:spPr>
        <a:xfrm>
          <a:off x="15506701" y="6315075"/>
          <a:ext cx="2009774"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2000"/>
            <a:t>Torna all'indice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409575</xdr:colOff>
      <xdr:row>32</xdr:row>
      <xdr:rowOff>171450</xdr:rowOff>
    </xdr:from>
    <xdr:to>
      <xdr:col>25</xdr:col>
      <xdr:colOff>590549</xdr:colOff>
      <xdr:row>35</xdr:row>
      <xdr:rowOff>57150</xdr:rowOff>
    </xdr:to>
    <xdr:sp macro="" textlink="">
      <xdr:nvSpPr>
        <xdr:cNvPr id="2" name="Rettangolo con angoli arrotondati 1">
          <a:hlinkClick xmlns:r="http://schemas.openxmlformats.org/officeDocument/2006/relationships" r:id="rId1"/>
          <a:extLst>
            <a:ext uri="{FF2B5EF4-FFF2-40B4-BE49-F238E27FC236}">
              <a16:creationId xmlns:a16="http://schemas.microsoft.com/office/drawing/2014/main" id="{12021607-C624-42AE-A04F-DEA931EB3390}"/>
            </a:ext>
          </a:extLst>
        </xdr:cNvPr>
        <xdr:cNvSpPr/>
      </xdr:nvSpPr>
      <xdr:spPr>
        <a:xfrm>
          <a:off x="15554325" y="6353175"/>
          <a:ext cx="2009774"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2000"/>
            <a:t>Torna all'indice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24</xdr:col>
      <xdr:colOff>142875</xdr:colOff>
      <xdr:row>32</xdr:row>
      <xdr:rowOff>123825</xdr:rowOff>
    </xdr:from>
    <xdr:to>
      <xdr:col>27</xdr:col>
      <xdr:colOff>323849</xdr:colOff>
      <xdr:row>35</xdr:row>
      <xdr:rowOff>9525</xdr:rowOff>
    </xdr:to>
    <xdr:sp macro="" textlink="">
      <xdr:nvSpPr>
        <xdr:cNvPr id="2" name="Rettangolo con angoli arrotondati 1">
          <a:hlinkClick xmlns:r="http://schemas.openxmlformats.org/officeDocument/2006/relationships" r:id="rId1"/>
          <a:extLst>
            <a:ext uri="{FF2B5EF4-FFF2-40B4-BE49-F238E27FC236}">
              <a16:creationId xmlns:a16="http://schemas.microsoft.com/office/drawing/2014/main" id="{D2F59787-A4AB-46E2-B842-0D308691C9FC}"/>
            </a:ext>
          </a:extLst>
        </xdr:cNvPr>
        <xdr:cNvSpPr/>
      </xdr:nvSpPr>
      <xdr:spPr>
        <a:xfrm>
          <a:off x="15487650" y="6305550"/>
          <a:ext cx="2009774"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2000"/>
            <a:t>Torna all'indice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22</xdr:col>
      <xdr:colOff>285750</xdr:colOff>
      <xdr:row>33</xdr:row>
      <xdr:rowOff>28575</xdr:rowOff>
    </xdr:from>
    <xdr:to>
      <xdr:col>25</xdr:col>
      <xdr:colOff>466724</xdr:colOff>
      <xdr:row>35</xdr:row>
      <xdr:rowOff>104775</xdr:rowOff>
    </xdr:to>
    <xdr:sp macro="" textlink="">
      <xdr:nvSpPr>
        <xdr:cNvPr id="2" name="Rettangolo con angoli arrotondati 1">
          <a:hlinkClick xmlns:r="http://schemas.openxmlformats.org/officeDocument/2006/relationships" r:id="rId1"/>
          <a:extLst>
            <a:ext uri="{FF2B5EF4-FFF2-40B4-BE49-F238E27FC236}">
              <a16:creationId xmlns:a16="http://schemas.microsoft.com/office/drawing/2014/main" id="{FB628B41-A5EE-4DBF-B6A7-0F51AAF52204}"/>
            </a:ext>
          </a:extLst>
        </xdr:cNvPr>
        <xdr:cNvSpPr/>
      </xdr:nvSpPr>
      <xdr:spPr>
        <a:xfrm>
          <a:off x="15582900" y="6400800"/>
          <a:ext cx="2009774"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2000"/>
            <a:t>Torna all'indice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1695450</xdr:colOff>
      <xdr:row>7</xdr:row>
      <xdr:rowOff>47625</xdr:rowOff>
    </xdr:from>
    <xdr:to>
      <xdr:col>4</xdr:col>
      <xdr:colOff>390525</xdr:colOff>
      <xdr:row>18</xdr:row>
      <xdr:rowOff>104775</xdr:rowOff>
    </xdr:to>
    <xdr:sp macro="" textlink="">
      <xdr:nvSpPr>
        <xdr:cNvPr id="4" name="Rettangolo con angoli arrotondati 3">
          <a:extLst>
            <a:ext uri="{FF2B5EF4-FFF2-40B4-BE49-F238E27FC236}">
              <a16:creationId xmlns:a16="http://schemas.microsoft.com/office/drawing/2014/main" id="{25F5ACC2-06D5-95A0-0D02-8769E3403B66}"/>
            </a:ext>
          </a:extLst>
        </xdr:cNvPr>
        <xdr:cNvSpPr/>
      </xdr:nvSpPr>
      <xdr:spPr>
        <a:xfrm>
          <a:off x="1695450" y="1562100"/>
          <a:ext cx="5076825" cy="2295525"/>
        </a:xfrm>
        <a:prstGeom prst="roundRect">
          <a:avLst/>
        </a:prstGeom>
        <a:solidFill>
          <a:schemeClr val="accent4">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it-IT" sz="1100">
            <a:solidFill>
              <a:sysClr val="windowText" lastClr="000000"/>
            </a:solidFill>
          </a:endParaRPr>
        </a:p>
      </xdr:txBody>
    </xdr:sp>
    <xdr:clientData/>
  </xdr:twoCellAnchor>
  <xdr:twoCellAnchor>
    <xdr:from>
      <xdr:col>11</xdr:col>
      <xdr:colOff>1171575</xdr:colOff>
      <xdr:row>31</xdr:row>
      <xdr:rowOff>38100</xdr:rowOff>
    </xdr:from>
    <xdr:to>
      <xdr:col>13</xdr:col>
      <xdr:colOff>1076324</xdr:colOff>
      <xdr:row>33</xdr:row>
      <xdr:rowOff>114300</xdr:rowOff>
    </xdr:to>
    <xdr:sp macro="" textlink="">
      <xdr:nvSpPr>
        <xdr:cNvPr id="5" name="Rettangolo con angoli arrotondati 4">
          <a:hlinkClick xmlns:r="http://schemas.openxmlformats.org/officeDocument/2006/relationships" r:id="rId1"/>
          <a:extLst>
            <a:ext uri="{FF2B5EF4-FFF2-40B4-BE49-F238E27FC236}">
              <a16:creationId xmlns:a16="http://schemas.microsoft.com/office/drawing/2014/main" id="{05E420F8-E5A7-41F5-B17B-0588E5F96447}"/>
            </a:ext>
          </a:extLst>
        </xdr:cNvPr>
        <xdr:cNvSpPr/>
      </xdr:nvSpPr>
      <xdr:spPr>
        <a:xfrm>
          <a:off x="15440025" y="6267450"/>
          <a:ext cx="2009774"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2000"/>
            <a:t>Torna all'indice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0</xdr:colOff>
      <xdr:row>20</xdr:row>
      <xdr:rowOff>0</xdr:rowOff>
    </xdr:from>
    <xdr:to>
      <xdr:col>5</xdr:col>
      <xdr:colOff>4572000</xdr:colOff>
      <xdr:row>34</xdr:row>
      <xdr:rowOff>76200</xdr:rowOff>
    </xdr:to>
    <xdr:graphicFrame macro="">
      <xdr:nvGraphicFramePr>
        <xdr:cNvPr id="6" name="Grafico 5">
          <a:extLst>
            <a:ext uri="{FF2B5EF4-FFF2-40B4-BE49-F238E27FC236}">
              <a16:creationId xmlns:a16="http://schemas.microsoft.com/office/drawing/2014/main" id="{451EA6DD-FA40-474E-BB6F-D0B4EAD8E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38</xdr:row>
      <xdr:rowOff>0</xdr:rowOff>
    </xdr:from>
    <xdr:to>
      <xdr:col>5</xdr:col>
      <xdr:colOff>4572000</xdr:colOff>
      <xdr:row>52</xdr:row>
      <xdr:rowOff>76200</xdr:rowOff>
    </xdr:to>
    <xdr:graphicFrame macro="">
      <xdr:nvGraphicFramePr>
        <xdr:cNvPr id="8" name="Grafico 7">
          <a:extLst>
            <a:ext uri="{FF2B5EF4-FFF2-40B4-BE49-F238E27FC236}">
              <a16:creationId xmlns:a16="http://schemas.microsoft.com/office/drawing/2014/main" id="{74192B03-5E5C-4BB0-B2E7-5E37B40CE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2</xdr:row>
      <xdr:rowOff>0</xdr:rowOff>
    </xdr:from>
    <xdr:to>
      <xdr:col>5</xdr:col>
      <xdr:colOff>4572000</xdr:colOff>
      <xdr:row>16</xdr:row>
      <xdr:rowOff>152400</xdr:rowOff>
    </xdr:to>
    <xdr:graphicFrame macro="">
      <xdr:nvGraphicFramePr>
        <xdr:cNvPr id="9" name="Grafico 8">
          <a:extLst>
            <a:ext uri="{FF2B5EF4-FFF2-40B4-BE49-F238E27FC236}">
              <a16:creationId xmlns:a16="http://schemas.microsoft.com/office/drawing/2014/main" id="{5DAAA07F-710C-4566-8BD9-D63D43113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76199</xdr:colOff>
      <xdr:row>2</xdr:row>
      <xdr:rowOff>104776</xdr:rowOff>
    </xdr:from>
    <xdr:to>
      <xdr:col>6</xdr:col>
      <xdr:colOff>3248024</xdr:colOff>
      <xdr:row>6</xdr:row>
      <xdr:rowOff>114300</xdr:rowOff>
    </xdr:to>
    <xdr:sp macro="" textlink="">
      <xdr:nvSpPr>
        <xdr:cNvPr id="10" name="Rettangolo con angoli arrotondati 9">
          <a:extLst>
            <a:ext uri="{FF2B5EF4-FFF2-40B4-BE49-F238E27FC236}">
              <a16:creationId xmlns:a16="http://schemas.microsoft.com/office/drawing/2014/main" id="{31AF011A-004E-E19E-57C0-A4805CD91613}"/>
            </a:ext>
          </a:extLst>
        </xdr:cNvPr>
        <xdr:cNvSpPr/>
      </xdr:nvSpPr>
      <xdr:spPr>
        <a:xfrm>
          <a:off x="10658474" y="571501"/>
          <a:ext cx="3171825" cy="771524"/>
        </a:xfrm>
        <a:prstGeom prst="roundRect">
          <a:avLst/>
        </a:prstGeom>
        <a:solidFill>
          <a:schemeClr val="accent4"/>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it-IT" sz="1100"/>
            <a:t>Esiste</a:t>
          </a:r>
          <a:r>
            <a:rPr lang="it-IT" sz="1100" baseline="0"/>
            <a:t> una relazione positiva ma non molto forte tra le due variabili, infatti il valore è piuttosto vicino allo zero</a:t>
          </a:r>
          <a:endParaRPr lang="it-IT" sz="1100"/>
        </a:p>
      </xdr:txBody>
    </xdr:sp>
    <xdr:clientData/>
  </xdr:twoCellAnchor>
  <xdr:twoCellAnchor>
    <xdr:from>
      <xdr:col>6</xdr:col>
      <xdr:colOff>57150</xdr:colOff>
      <xdr:row>20</xdr:row>
      <xdr:rowOff>57150</xdr:rowOff>
    </xdr:from>
    <xdr:to>
      <xdr:col>6</xdr:col>
      <xdr:colOff>3228975</xdr:colOff>
      <xdr:row>24</xdr:row>
      <xdr:rowOff>66674</xdr:rowOff>
    </xdr:to>
    <xdr:sp macro="" textlink="">
      <xdr:nvSpPr>
        <xdr:cNvPr id="11" name="Rettangolo con angoli arrotondati 10">
          <a:extLst>
            <a:ext uri="{FF2B5EF4-FFF2-40B4-BE49-F238E27FC236}">
              <a16:creationId xmlns:a16="http://schemas.microsoft.com/office/drawing/2014/main" id="{DEFC9263-42AF-438D-A4FA-7F5BBFF6C649}"/>
            </a:ext>
          </a:extLst>
        </xdr:cNvPr>
        <xdr:cNvSpPr/>
      </xdr:nvSpPr>
      <xdr:spPr>
        <a:xfrm>
          <a:off x="10639425" y="4029075"/>
          <a:ext cx="3171825" cy="771524"/>
        </a:xfrm>
        <a:prstGeom prst="roundRect">
          <a:avLst/>
        </a:prstGeom>
        <a:solidFill>
          <a:schemeClr val="accent4"/>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it-IT" sz="1100"/>
            <a:t>Il</a:t>
          </a:r>
          <a:r>
            <a:rPr lang="it-IT" sz="1100" baseline="0"/>
            <a:t> dato evidenzia la mancanza di correlazione tra le due variabili. il valore del coefficente di Paerson è negativo e vicinissimo allo zero. </a:t>
          </a:r>
          <a:endParaRPr lang="it-IT" sz="1100"/>
        </a:p>
      </xdr:txBody>
    </xdr:sp>
    <xdr:clientData/>
  </xdr:twoCellAnchor>
  <xdr:twoCellAnchor>
    <xdr:from>
      <xdr:col>6</xdr:col>
      <xdr:colOff>104775</xdr:colOff>
      <xdr:row>38</xdr:row>
      <xdr:rowOff>85725</xdr:rowOff>
    </xdr:from>
    <xdr:to>
      <xdr:col>6</xdr:col>
      <xdr:colOff>3276600</xdr:colOff>
      <xdr:row>42</xdr:row>
      <xdr:rowOff>95249</xdr:rowOff>
    </xdr:to>
    <xdr:sp macro="" textlink="">
      <xdr:nvSpPr>
        <xdr:cNvPr id="12" name="Rettangolo con angoli arrotondati 11">
          <a:extLst>
            <a:ext uri="{FF2B5EF4-FFF2-40B4-BE49-F238E27FC236}">
              <a16:creationId xmlns:a16="http://schemas.microsoft.com/office/drawing/2014/main" id="{DAC1A666-FD4A-467C-8EF6-ACBAA73EE470}"/>
            </a:ext>
          </a:extLst>
        </xdr:cNvPr>
        <xdr:cNvSpPr/>
      </xdr:nvSpPr>
      <xdr:spPr>
        <a:xfrm>
          <a:off x="10687050" y="7562850"/>
          <a:ext cx="3171825" cy="771524"/>
        </a:xfrm>
        <a:prstGeom prst="roundRect">
          <a:avLst/>
        </a:prstGeom>
        <a:solidFill>
          <a:schemeClr val="accent4"/>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it-IT" sz="1100"/>
            <a:t>Il coefficiente</a:t>
          </a:r>
          <a:r>
            <a:rPr lang="it-IT" sz="1100" baseline="0"/>
            <a:t> di Paerson è praticamente zero, questo rappresenta una correlazione nulla, non c'è legame tra le due variabili.</a:t>
          </a:r>
          <a:endParaRPr lang="it-IT" sz="1100"/>
        </a:p>
      </xdr:txBody>
    </xdr:sp>
    <xdr:clientData/>
  </xdr:twoCellAnchor>
  <xdr:twoCellAnchor>
    <xdr:from>
      <xdr:col>7</xdr:col>
      <xdr:colOff>304800</xdr:colOff>
      <xdr:row>32</xdr:row>
      <xdr:rowOff>57150</xdr:rowOff>
    </xdr:from>
    <xdr:to>
      <xdr:col>10</xdr:col>
      <xdr:colOff>485774</xdr:colOff>
      <xdr:row>34</xdr:row>
      <xdr:rowOff>133350</xdr:rowOff>
    </xdr:to>
    <xdr:sp macro="" textlink="">
      <xdr:nvSpPr>
        <xdr:cNvPr id="13" name="Rettangolo con angoli arrotondati 12">
          <a:hlinkClick xmlns:r="http://schemas.openxmlformats.org/officeDocument/2006/relationships" r:id="rId4"/>
          <a:extLst>
            <a:ext uri="{FF2B5EF4-FFF2-40B4-BE49-F238E27FC236}">
              <a16:creationId xmlns:a16="http://schemas.microsoft.com/office/drawing/2014/main" id="{6C1CF2A8-276E-4221-99F2-8247CB89A5FB}"/>
            </a:ext>
          </a:extLst>
        </xdr:cNvPr>
        <xdr:cNvSpPr/>
      </xdr:nvSpPr>
      <xdr:spPr>
        <a:xfrm>
          <a:off x="15497175" y="6315075"/>
          <a:ext cx="2009774"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2000"/>
            <a:t>Torna all'indice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590550</xdr:colOff>
      <xdr:row>1</xdr:row>
      <xdr:rowOff>14287</xdr:rowOff>
    </xdr:from>
    <xdr:to>
      <xdr:col>10</xdr:col>
      <xdr:colOff>285750</xdr:colOff>
      <xdr:row>15</xdr:row>
      <xdr:rowOff>80962</xdr:rowOff>
    </xdr:to>
    <xdr:graphicFrame macro="">
      <xdr:nvGraphicFramePr>
        <xdr:cNvPr id="2" name="Grafico 1">
          <a:extLst>
            <a:ext uri="{FF2B5EF4-FFF2-40B4-BE49-F238E27FC236}">
              <a16:creationId xmlns:a16="http://schemas.microsoft.com/office/drawing/2014/main" id="{F3348C38-4C76-1A4A-FA55-855570869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323850</xdr:colOff>
      <xdr:row>32</xdr:row>
      <xdr:rowOff>76200</xdr:rowOff>
    </xdr:from>
    <xdr:to>
      <xdr:col>28</xdr:col>
      <xdr:colOff>504824</xdr:colOff>
      <xdr:row>34</xdr:row>
      <xdr:rowOff>152400</xdr:rowOff>
    </xdr:to>
    <xdr:sp macro="" textlink="">
      <xdr:nvSpPr>
        <xdr:cNvPr id="4" name="Rettangolo con angoli arrotondati 3">
          <a:hlinkClick xmlns:r="http://schemas.openxmlformats.org/officeDocument/2006/relationships" r:id="rId2"/>
          <a:extLst>
            <a:ext uri="{FF2B5EF4-FFF2-40B4-BE49-F238E27FC236}">
              <a16:creationId xmlns:a16="http://schemas.microsoft.com/office/drawing/2014/main" id="{C60498E5-9B73-4432-84CA-A307A2A17DC4}"/>
            </a:ext>
          </a:extLst>
        </xdr:cNvPr>
        <xdr:cNvSpPr/>
      </xdr:nvSpPr>
      <xdr:spPr>
        <a:xfrm>
          <a:off x="15411450" y="6257925"/>
          <a:ext cx="2009774"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2000"/>
            <a:t>Torna all'indice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142875</xdr:colOff>
      <xdr:row>25</xdr:row>
      <xdr:rowOff>9525</xdr:rowOff>
    </xdr:from>
    <xdr:to>
      <xdr:col>8</xdr:col>
      <xdr:colOff>323849</xdr:colOff>
      <xdr:row>27</xdr:row>
      <xdr:rowOff>85725</xdr:rowOff>
    </xdr:to>
    <xdr:sp macro="" textlink="">
      <xdr:nvSpPr>
        <xdr:cNvPr id="2" name="Rettangolo con angoli arrotondati 1">
          <a:hlinkClick xmlns:r="http://schemas.openxmlformats.org/officeDocument/2006/relationships" r:id="rId1"/>
          <a:extLst>
            <a:ext uri="{FF2B5EF4-FFF2-40B4-BE49-F238E27FC236}">
              <a16:creationId xmlns:a16="http://schemas.microsoft.com/office/drawing/2014/main" id="{A7ABF5A7-D5D5-4B2D-B889-F53B3EE6E459}"/>
            </a:ext>
          </a:extLst>
        </xdr:cNvPr>
        <xdr:cNvSpPr/>
      </xdr:nvSpPr>
      <xdr:spPr>
        <a:xfrm>
          <a:off x="15516225" y="6276975"/>
          <a:ext cx="2009774"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2000"/>
            <a:t>Torna all'indice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A171EF-D6F8-43F2-8AE1-59CAA2115330}" name="Tabella2" displayName="Tabella2" ref="A1:D7" totalsRowShown="0" headerRowDxfId="7" dataDxfId="5" headerRowBorderDxfId="6" tableBorderDxfId="4">
  <autoFilter ref="A1:D7" xr:uid="{25A171EF-D6F8-43F2-8AE1-59CAA2115330}"/>
  <tableColumns count="4">
    <tableColumn id="1" xr3:uid="{8C7DA196-CA95-491F-936F-C9B1F1D784BD}" name="Sezione" dataDxfId="3"/>
    <tableColumn id="2" xr3:uid="{FFC6A8FB-9D25-497E-B42B-1AEA4CD1AC93}" name="Problema/Attività" dataDxfId="2"/>
    <tableColumn id="3" xr3:uid="{7A3A9213-B4C9-47FD-B407-FC7182782D3C}" name="Azione/Soluzione" dataDxfId="1"/>
    <tableColumn id="4" xr3:uid="{A0084207-1B28-4082-BDF0-162EEA13C990}" name="Commento" dataDxfId="0"/>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D161F-64C4-46EA-8581-15CA4FE3F415}">
  <sheetPr>
    <tabColor theme="4"/>
  </sheetPr>
  <dimension ref="A31"/>
  <sheetViews>
    <sheetView workbookViewId="0"/>
  </sheetViews>
  <sheetFormatPr defaultColWidth="9.140625" defaultRowHeight="15" x14ac:dyDescent="0.25"/>
  <cols>
    <col min="1" max="16384" width="9.140625" style="29"/>
  </cols>
  <sheetData>
    <row r="31" s="29" customForma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156AC-7645-4EF2-B9C0-09E179469BF8}">
  <sheetPr codeName="Foglio1">
    <tabColor rgb="FF00B0F0"/>
  </sheetPr>
  <dimension ref="A1:F251"/>
  <sheetViews>
    <sheetView showGridLines="0" workbookViewId="0">
      <selection activeCell="C7" sqref="C7"/>
    </sheetView>
  </sheetViews>
  <sheetFormatPr defaultRowHeight="15" x14ac:dyDescent="0.25"/>
  <cols>
    <col min="1" max="1" width="19.28515625" bestFit="1" customWidth="1"/>
    <col min="3" max="3" width="8.85546875" customWidth="1"/>
    <col min="6" max="6" width="19.28515625" bestFit="1" customWidth="1"/>
    <col min="10" max="10" width="9.42578125" bestFit="1" customWidth="1"/>
  </cols>
  <sheetData>
    <row r="1" spans="1:6" ht="21" thickTop="1" thickBot="1" x14ac:dyDescent="0.45">
      <c r="A1" s="4" t="s">
        <v>1</v>
      </c>
      <c r="B1" s="4" t="s">
        <v>0</v>
      </c>
    </row>
    <row r="2" spans="1:6" ht="15.75" thickTop="1" x14ac:dyDescent="0.25">
      <c r="A2" s="3">
        <v>1</v>
      </c>
      <c r="B2" s="3">
        <v>68</v>
      </c>
      <c r="F2" s="23"/>
    </row>
    <row r="3" spans="1:6" x14ac:dyDescent="0.25">
      <c r="A3" s="1">
        <v>2</v>
      </c>
      <c r="B3" s="1">
        <v>28</v>
      </c>
    </row>
    <row r="4" spans="1:6" x14ac:dyDescent="0.25">
      <c r="A4" s="1">
        <v>3</v>
      </c>
      <c r="B4" s="1">
        <v>44</v>
      </c>
    </row>
    <row r="5" spans="1:6" x14ac:dyDescent="0.25">
      <c r="A5" s="1">
        <v>4</v>
      </c>
      <c r="B5" s="1">
        <v>63</v>
      </c>
    </row>
    <row r="6" spans="1:6" x14ac:dyDescent="0.25">
      <c r="A6" s="1">
        <v>5</v>
      </c>
      <c r="B6" s="1">
        <v>33</v>
      </c>
    </row>
    <row r="7" spans="1:6" x14ac:dyDescent="0.25">
      <c r="A7" s="1">
        <v>6</v>
      </c>
      <c r="B7" s="1">
        <v>34</v>
      </c>
    </row>
    <row r="8" spans="1:6" x14ac:dyDescent="0.25">
      <c r="A8" s="1">
        <v>7</v>
      </c>
      <c r="B8" s="1">
        <v>51</v>
      </c>
    </row>
    <row r="9" spans="1:6" x14ac:dyDescent="0.25">
      <c r="A9" s="1">
        <v>8</v>
      </c>
      <c r="B9" s="1">
        <v>67</v>
      </c>
    </row>
    <row r="10" spans="1:6" x14ac:dyDescent="0.25">
      <c r="A10" s="1">
        <v>9</v>
      </c>
      <c r="B10" s="1">
        <v>78</v>
      </c>
    </row>
    <row r="11" spans="1:6" x14ac:dyDescent="0.25">
      <c r="A11" s="1">
        <v>10</v>
      </c>
      <c r="B11" s="1">
        <v>55</v>
      </c>
    </row>
    <row r="12" spans="1:6" x14ac:dyDescent="0.25">
      <c r="A12" s="1">
        <v>11</v>
      </c>
      <c r="B12" s="1">
        <v>52</v>
      </c>
    </row>
    <row r="13" spans="1:6" x14ac:dyDescent="0.25">
      <c r="A13" s="1">
        <v>12</v>
      </c>
      <c r="B13" s="1">
        <v>23</v>
      </c>
    </row>
    <row r="14" spans="1:6" x14ac:dyDescent="0.25">
      <c r="A14" s="1">
        <v>13</v>
      </c>
      <c r="B14" s="1">
        <v>24</v>
      </c>
    </row>
    <row r="15" spans="1:6" x14ac:dyDescent="0.25">
      <c r="A15" s="1">
        <v>14</v>
      </c>
      <c r="B15" s="1">
        <v>43</v>
      </c>
    </row>
    <row r="16" spans="1:6" x14ac:dyDescent="0.25">
      <c r="A16" s="1">
        <v>15</v>
      </c>
      <c r="B16" s="1">
        <v>70</v>
      </c>
    </row>
    <row r="17" spans="1:2" x14ac:dyDescent="0.25">
      <c r="A17" s="1">
        <v>16</v>
      </c>
      <c r="B17" s="1">
        <v>66</v>
      </c>
    </row>
    <row r="18" spans="1:2" x14ac:dyDescent="0.25">
      <c r="A18" s="1">
        <v>17</v>
      </c>
      <c r="B18" s="1">
        <v>56</v>
      </c>
    </row>
    <row r="19" spans="1:2" x14ac:dyDescent="0.25">
      <c r="A19" s="1">
        <v>18</v>
      </c>
      <c r="B19" s="1">
        <v>23</v>
      </c>
    </row>
    <row r="20" spans="1:2" x14ac:dyDescent="0.25">
      <c r="A20" s="1">
        <v>19</v>
      </c>
      <c r="B20" s="1">
        <v>58</v>
      </c>
    </row>
    <row r="21" spans="1:2" x14ac:dyDescent="0.25">
      <c r="A21" s="1">
        <v>20</v>
      </c>
      <c r="B21" s="1">
        <v>14</v>
      </c>
    </row>
    <row r="22" spans="1:2" x14ac:dyDescent="0.25">
      <c r="A22" s="1">
        <v>21</v>
      </c>
      <c r="B22" s="1">
        <v>62</v>
      </c>
    </row>
    <row r="23" spans="1:2" x14ac:dyDescent="0.25">
      <c r="A23" s="1">
        <v>22</v>
      </c>
      <c r="B23" s="1">
        <v>70</v>
      </c>
    </row>
    <row r="24" spans="1:2" x14ac:dyDescent="0.25">
      <c r="A24" s="1">
        <v>23</v>
      </c>
      <c r="B24" s="1">
        <v>35</v>
      </c>
    </row>
    <row r="25" spans="1:2" x14ac:dyDescent="0.25">
      <c r="A25" s="1">
        <v>24</v>
      </c>
      <c r="B25" s="1">
        <v>33</v>
      </c>
    </row>
    <row r="26" spans="1:2" x14ac:dyDescent="0.25">
      <c r="A26" s="1">
        <v>25</v>
      </c>
      <c r="B26" s="1">
        <v>40</v>
      </c>
    </row>
    <row r="27" spans="1:2" x14ac:dyDescent="0.25">
      <c r="A27" s="1">
        <v>26</v>
      </c>
      <c r="B27" s="1">
        <v>71</v>
      </c>
    </row>
    <row r="28" spans="1:2" x14ac:dyDescent="0.25">
      <c r="A28" s="1">
        <v>27</v>
      </c>
      <c r="B28" s="1">
        <v>73</v>
      </c>
    </row>
    <row r="29" spans="1:2" x14ac:dyDescent="0.25">
      <c r="A29" s="1">
        <v>28</v>
      </c>
      <c r="B29" s="1">
        <v>60</v>
      </c>
    </row>
    <row r="30" spans="1:2" x14ac:dyDescent="0.25">
      <c r="A30" s="1">
        <v>29</v>
      </c>
      <c r="B30" s="1">
        <v>49</v>
      </c>
    </row>
    <row r="31" spans="1:2" x14ac:dyDescent="0.25">
      <c r="A31" s="1">
        <v>30</v>
      </c>
      <c r="B31" s="1">
        <v>64</v>
      </c>
    </row>
    <row r="32" spans="1:2" x14ac:dyDescent="0.25">
      <c r="A32" s="1">
        <v>31</v>
      </c>
      <c r="B32" s="1">
        <v>50</v>
      </c>
    </row>
    <row r="33" spans="1:2" x14ac:dyDescent="0.25">
      <c r="A33" s="1">
        <v>32</v>
      </c>
      <c r="B33" s="1">
        <v>24</v>
      </c>
    </row>
    <row r="34" spans="1:2" x14ac:dyDescent="0.25">
      <c r="A34" s="1">
        <v>33</v>
      </c>
      <c r="B34" s="1">
        <v>36</v>
      </c>
    </row>
    <row r="35" spans="1:2" x14ac:dyDescent="0.25">
      <c r="A35" s="1">
        <v>34</v>
      </c>
      <c r="B35" s="1">
        <v>33</v>
      </c>
    </row>
    <row r="36" spans="1:2" x14ac:dyDescent="0.25">
      <c r="A36" s="1">
        <v>35</v>
      </c>
      <c r="B36" s="1">
        <v>40</v>
      </c>
    </row>
    <row r="37" spans="1:2" x14ac:dyDescent="0.25">
      <c r="A37" s="1">
        <v>36</v>
      </c>
      <c r="B37" s="1">
        <v>42</v>
      </c>
    </row>
    <row r="38" spans="1:2" x14ac:dyDescent="0.25">
      <c r="A38" s="1">
        <v>37</v>
      </c>
      <c r="B38" s="1">
        <v>53</v>
      </c>
    </row>
    <row r="39" spans="1:2" x14ac:dyDescent="0.25">
      <c r="A39" s="1">
        <v>38</v>
      </c>
      <c r="B39" s="1">
        <v>63</v>
      </c>
    </row>
    <row r="40" spans="1:2" x14ac:dyDescent="0.25">
      <c r="A40" s="1">
        <v>39</v>
      </c>
      <c r="B40" s="1">
        <v>37</v>
      </c>
    </row>
    <row r="41" spans="1:2" x14ac:dyDescent="0.25">
      <c r="A41" s="1">
        <v>40</v>
      </c>
      <c r="B41" s="1">
        <v>79</v>
      </c>
    </row>
    <row r="42" spans="1:2" x14ac:dyDescent="0.25">
      <c r="A42" s="1">
        <v>41</v>
      </c>
      <c r="B42" s="1">
        <v>46</v>
      </c>
    </row>
    <row r="43" spans="1:2" x14ac:dyDescent="0.25">
      <c r="A43" s="1">
        <v>42</v>
      </c>
      <c r="B43" s="1">
        <v>46</v>
      </c>
    </row>
    <row r="44" spans="1:2" x14ac:dyDescent="0.25">
      <c r="A44" s="1">
        <v>43</v>
      </c>
      <c r="B44" s="1">
        <v>85</v>
      </c>
    </row>
    <row r="45" spans="1:2" x14ac:dyDescent="0.25">
      <c r="A45" s="1">
        <v>44</v>
      </c>
      <c r="B45" s="1">
        <v>66</v>
      </c>
    </row>
    <row r="46" spans="1:2" x14ac:dyDescent="0.25">
      <c r="A46" s="1">
        <v>45</v>
      </c>
      <c r="B46" s="1">
        <v>60</v>
      </c>
    </row>
    <row r="47" spans="1:2" x14ac:dyDescent="0.25">
      <c r="A47" s="1">
        <v>46</v>
      </c>
      <c r="B47" s="1">
        <v>46</v>
      </c>
    </row>
    <row r="48" spans="1:2" x14ac:dyDescent="0.25">
      <c r="A48" s="1">
        <v>47</v>
      </c>
      <c r="B48" s="1">
        <v>50</v>
      </c>
    </row>
    <row r="49" spans="1:2" x14ac:dyDescent="0.25">
      <c r="A49" s="1">
        <v>48</v>
      </c>
      <c r="B49" s="1">
        <v>29</v>
      </c>
    </row>
    <row r="50" spans="1:2" x14ac:dyDescent="0.25">
      <c r="A50" s="1">
        <v>49</v>
      </c>
      <c r="B50" s="1">
        <v>63</v>
      </c>
    </row>
    <row r="51" spans="1:2" x14ac:dyDescent="0.25">
      <c r="A51" s="1">
        <v>50</v>
      </c>
      <c r="B51" s="1">
        <v>43</v>
      </c>
    </row>
    <row r="52" spans="1:2" x14ac:dyDescent="0.25">
      <c r="A52" s="1">
        <v>51</v>
      </c>
      <c r="B52" s="1">
        <v>42</v>
      </c>
    </row>
    <row r="53" spans="1:2" x14ac:dyDescent="0.25">
      <c r="A53" s="1">
        <v>52</v>
      </c>
      <c r="B53" s="1">
        <v>35</v>
      </c>
    </row>
    <row r="54" spans="1:2" x14ac:dyDescent="0.25">
      <c r="A54" s="1">
        <v>53</v>
      </c>
      <c r="B54" s="1">
        <v>62</v>
      </c>
    </row>
    <row r="55" spans="1:2" x14ac:dyDescent="0.25">
      <c r="A55" s="1">
        <v>54</v>
      </c>
      <c r="B55" s="1">
        <v>61</v>
      </c>
    </row>
    <row r="56" spans="1:2" x14ac:dyDescent="0.25">
      <c r="A56" s="1">
        <v>55</v>
      </c>
      <c r="B56" s="1">
        <v>0</v>
      </c>
    </row>
    <row r="57" spans="1:2" x14ac:dyDescent="0.25">
      <c r="A57" s="1">
        <v>56</v>
      </c>
      <c r="B57" s="1">
        <v>51</v>
      </c>
    </row>
    <row r="58" spans="1:2" x14ac:dyDescent="0.25">
      <c r="A58" s="1">
        <v>57</v>
      </c>
      <c r="B58" s="1">
        <v>48</v>
      </c>
    </row>
    <row r="59" spans="1:2" x14ac:dyDescent="0.25">
      <c r="A59" s="1">
        <v>58</v>
      </c>
      <c r="B59" s="1">
        <v>49</v>
      </c>
    </row>
    <row r="60" spans="1:2" x14ac:dyDescent="0.25">
      <c r="A60" s="1">
        <v>59</v>
      </c>
      <c r="B60" s="1">
        <v>49</v>
      </c>
    </row>
    <row r="61" spans="1:2" x14ac:dyDescent="0.25">
      <c r="A61" s="1">
        <v>60</v>
      </c>
      <c r="B61" s="1">
        <v>54</v>
      </c>
    </row>
    <row r="62" spans="1:2" x14ac:dyDescent="0.25">
      <c r="A62" s="1">
        <v>61</v>
      </c>
      <c r="B62" s="1">
        <v>9</v>
      </c>
    </row>
    <row r="63" spans="1:2" x14ac:dyDescent="0.25">
      <c r="A63" s="1">
        <v>62</v>
      </c>
      <c r="B63" s="1">
        <v>50</v>
      </c>
    </row>
    <row r="64" spans="1:2" x14ac:dyDescent="0.25">
      <c r="A64" s="1">
        <v>63</v>
      </c>
      <c r="B64" s="1">
        <v>50</v>
      </c>
    </row>
    <row r="65" spans="1:2" x14ac:dyDescent="0.25">
      <c r="A65" s="1">
        <v>64</v>
      </c>
      <c r="B65" s="1">
        <v>29</v>
      </c>
    </row>
    <row r="66" spans="1:2" x14ac:dyDescent="0.25">
      <c r="A66" s="1">
        <v>65</v>
      </c>
      <c r="B66" s="1">
        <v>21</v>
      </c>
    </row>
    <row r="67" spans="1:2" x14ac:dyDescent="0.25">
      <c r="A67" s="1">
        <v>66</v>
      </c>
      <c r="B67" s="1">
        <v>62</v>
      </c>
    </row>
    <row r="68" spans="1:2" x14ac:dyDescent="0.25">
      <c r="A68" s="1">
        <v>67</v>
      </c>
      <c r="B68" s="1">
        <v>36</v>
      </c>
    </row>
    <row r="69" spans="1:2" x14ac:dyDescent="0.25">
      <c r="A69" s="1">
        <v>68</v>
      </c>
      <c r="B69" s="1">
        <v>31</v>
      </c>
    </row>
    <row r="70" spans="1:2" x14ac:dyDescent="0.25">
      <c r="A70" s="1">
        <v>69</v>
      </c>
      <c r="B70" s="1">
        <v>70</v>
      </c>
    </row>
    <row r="71" spans="1:2" x14ac:dyDescent="0.25">
      <c r="A71" s="1">
        <v>70</v>
      </c>
      <c r="B71" s="1">
        <v>73</v>
      </c>
    </row>
    <row r="72" spans="1:2" x14ac:dyDescent="0.25">
      <c r="A72" s="1">
        <v>71</v>
      </c>
      <c r="B72" s="1">
        <v>64</v>
      </c>
    </row>
    <row r="73" spans="1:2" x14ac:dyDescent="0.25">
      <c r="A73" s="1">
        <v>72</v>
      </c>
      <c r="B73" s="1">
        <v>21</v>
      </c>
    </row>
    <row r="74" spans="1:2" x14ac:dyDescent="0.25">
      <c r="A74" s="1">
        <v>73</v>
      </c>
      <c r="B74" s="1">
        <v>63</v>
      </c>
    </row>
    <row r="75" spans="1:2" x14ac:dyDescent="0.25">
      <c r="A75" s="1">
        <v>74</v>
      </c>
      <c r="B75" s="1">
        <v>42</v>
      </c>
    </row>
    <row r="76" spans="1:2" x14ac:dyDescent="0.25">
      <c r="A76" s="1">
        <v>75</v>
      </c>
      <c r="B76" s="1">
        <v>6</v>
      </c>
    </row>
    <row r="77" spans="1:2" x14ac:dyDescent="0.25">
      <c r="A77" s="1">
        <v>76</v>
      </c>
      <c r="B77" s="1">
        <v>56</v>
      </c>
    </row>
    <row r="78" spans="1:2" x14ac:dyDescent="0.25">
      <c r="A78" s="1">
        <v>77</v>
      </c>
      <c r="B78" s="1">
        <v>53</v>
      </c>
    </row>
    <row r="79" spans="1:2" x14ac:dyDescent="0.25">
      <c r="A79" s="1">
        <v>78</v>
      </c>
      <c r="B79" s="1">
        <v>46</v>
      </c>
    </row>
    <row r="80" spans="1:2" x14ac:dyDescent="0.25">
      <c r="A80" s="1">
        <v>79</v>
      </c>
      <c r="B80" s="1">
        <v>47</v>
      </c>
    </row>
    <row r="81" spans="1:2" x14ac:dyDescent="0.25">
      <c r="A81" s="1">
        <v>80</v>
      </c>
      <c r="B81" s="1">
        <v>26</v>
      </c>
    </row>
    <row r="82" spans="1:2" x14ac:dyDescent="0.25">
      <c r="A82" s="1">
        <v>81</v>
      </c>
      <c r="B82" s="1">
        <v>13</v>
      </c>
    </row>
    <row r="83" spans="1:2" x14ac:dyDescent="0.25">
      <c r="A83" s="1">
        <v>82</v>
      </c>
      <c r="B83" s="1">
        <v>73</v>
      </c>
    </row>
    <row r="84" spans="1:2" x14ac:dyDescent="0.25">
      <c r="A84" s="1">
        <v>83</v>
      </c>
      <c r="B84" s="1">
        <v>51</v>
      </c>
    </row>
    <row r="85" spans="1:2" x14ac:dyDescent="0.25">
      <c r="A85" s="1">
        <v>84</v>
      </c>
      <c r="B85" s="1">
        <v>20</v>
      </c>
    </row>
    <row r="86" spans="1:2" x14ac:dyDescent="0.25">
      <c r="A86" s="1">
        <v>85</v>
      </c>
      <c r="B86" s="1">
        <v>89</v>
      </c>
    </row>
    <row r="87" spans="1:2" x14ac:dyDescent="0.25">
      <c r="A87" s="1">
        <v>86</v>
      </c>
      <c r="B87" s="1">
        <v>27</v>
      </c>
    </row>
    <row r="88" spans="1:2" x14ac:dyDescent="0.25">
      <c r="A88" s="1">
        <v>87</v>
      </c>
      <c r="B88" s="1">
        <v>66</v>
      </c>
    </row>
    <row r="89" spans="1:2" x14ac:dyDescent="0.25">
      <c r="A89" s="1">
        <v>88</v>
      </c>
      <c r="B89" s="1">
        <v>54</v>
      </c>
    </row>
    <row r="90" spans="1:2" x14ac:dyDescent="0.25">
      <c r="A90" s="1">
        <v>89</v>
      </c>
      <c r="B90" s="1">
        <v>35</v>
      </c>
    </row>
    <row r="91" spans="1:2" x14ac:dyDescent="0.25">
      <c r="A91" s="1">
        <v>90</v>
      </c>
      <c r="B91" s="1">
        <v>64</v>
      </c>
    </row>
    <row r="92" spans="1:2" x14ac:dyDescent="0.25">
      <c r="A92" s="1">
        <v>91</v>
      </c>
      <c r="B92" s="1">
        <v>37</v>
      </c>
    </row>
    <row r="93" spans="1:2" x14ac:dyDescent="0.25">
      <c r="A93" s="1">
        <v>92</v>
      </c>
      <c r="B93" s="1">
        <v>36</v>
      </c>
    </row>
    <row r="94" spans="1:2" x14ac:dyDescent="0.25">
      <c r="A94" s="1">
        <v>93</v>
      </c>
      <c r="B94" s="1">
        <v>40</v>
      </c>
    </row>
    <row r="95" spans="1:2" x14ac:dyDescent="0.25">
      <c r="A95" s="1">
        <v>94</v>
      </c>
      <c r="B95" s="1">
        <v>43</v>
      </c>
    </row>
    <row r="96" spans="1:2" x14ac:dyDescent="0.25">
      <c r="A96" s="1">
        <v>95</v>
      </c>
      <c r="B96" s="1">
        <v>78</v>
      </c>
    </row>
    <row r="97" spans="1:2" x14ac:dyDescent="0.25">
      <c r="A97" s="1">
        <v>96</v>
      </c>
      <c r="B97" s="1">
        <v>48</v>
      </c>
    </row>
    <row r="98" spans="1:2" x14ac:dyDescent="0.25">
      <c r="A98" s="1">
        <v>97</v>
      </c>
      <c r="B98" s="1">
        <v>64</v>
      </c>
    </row>
    <row r="99" spans="1:2" x14ac:dyDescent="0.25">
      <c r="A99" s="1">
        <v>98</v>
      </c>
      <c r="B99" s="1">
        <v>40</v>
      </c>
    </row>
    <row r="100" spans="1:2" x14ac:dyDescent="0.25">
      <c r="A100" s="1">
        <v>99</v>
      </c>
      <c r="B100" s="1">
        <v>47</v>
      </c>
    </row>
    <row r="101" spans="1:2" x14ac:dyDescent="0.25">
      <c r="A101" s="1">
        <v>100</v>
      </c>
      <c r="B101" s="1">
        <v>60</v>
      </c>
    </row>
    <row r="102" spans="1:2" x14ac:dyDescent="0.25">
      <c r="A102" s="1">
        <v>101</v>
      </c>
      <c r="B102" s="1">
        <v>33</v>
      </c>
    </row>
    <row r="103" spans="1:2" x14ac:dyDescent="0.25">
      <c r="A103" s="1">
        <v>102</v>
      </c>
      <c r="B103" s="1">
        <v>52</v>
      </c>
    </row>
    <row r="104" spans="1:2" x14ac:dyDescent="0.25">
      <c r="A104" s="1">
        <v>103</v>
      </c>
      <c r="B104" s="1">
        <v>30</v>
      </c>
    </row>
    <row r="105" spans="1:2" x14ac:dyDescent="0.25">
      <c r="A105" s="1">
        <v>104</v>
      </c>
      <c r="B105" s="1">
        <v>70</v>
      </c>
    </row>
    <row r="106" spans="1:2" x14ac:dyDescent="0.25">
      <c r="A106" s="1">
        <v>105</v>
      </c>
      <c r="B106" s="1">
        <v>68</v>
      </c>
    </row>
    <row r="107" spans="1:2" x14ac:dyDescent="0.25">
      <c r="A107" s="1">
        <v>106</v>
      </c>
      <c r="B107" s="1">
        <v>61</v>
      </c>
    </row>
    <row r="108" spans="1:2" x14ac:dyDescent="0.25">
      <c r="A108" s="1">
        <v>107</v>
      </c>
      <c r="B108" s="1">
        <v>37</v>
      </c>
    </row>
    <row r="109" spans="1:2" x14ac:dyDescent="0.25">
      <c r="A109" s="1">
        <v>108</v>
      </c>
      <c r="B109" s="1">
        <v>39</v>
      </c>
    </row>
    <row r="110" spans="1:2" x14ac:dyDescent="0.25">
      <c r="A110" s="1">
        <v>109</v>
      </c>
      <c r="B110" s="1">
        <v>62</v>
      </c>
    </row>
    <row r="111" spans="1:2" x14ac:dyDescent="0.25">
      <c r="A111" s="1">
        <v>110</v>
      </c>
      <c r="B111" s="1">
        <v>21</v>
      </c>
    </row>
    <row r="112" spans="1:2" x14ac:dyDescent="0.25">
      <c r="A112" s="1">
        <v>111</v>
      </c>
      <c r="B112" s="1">
        <v>26</v>
      </c>
    </row>
    <row r="113" spans="1:2" x14ac:dyDescent="0.25">
      <c r="A113" s="1">
        <v>112</v>
      </c>
      <c r="B113" s="1">
        <v>100</v>
      </c>
    </row>
    <row r="114" spans="1:2" x14ac:dyDescent="0.25">
      <c r="A114" s="1">
        <v>113</v>
      </c>
      <c r="B114" s="1">
        <v>25</v>
      </c>
    </row>
    <row r="115" spans="1:2" x14ac:dyDescent="0.25">
      <c r="A115" s="1">
        <v>114</v>
      </c>
      <c r="B115" s="1">
        <v>37</v>
      </c>
    </row>
    <row r="116" spans="1:2" x14ac:dyDescent="0.25">
      <c r="A116" s="1">
        <v>115</v>
      </c>
      <c r="B116" s="1">
        <v>21</v>
      </c>
    </row>
    <row r="117" spans="1:2" x14ac:dyDescent="0.25">
      <c r="A117" s="1">
        <v>116</v>
      </c>
      <c r="B117" s="1">
        <v>32</v>
      </c>
    </row>
    <row r="118" spans="1:2" x14ac:dyDescent="0.25">
      <c r="A118" s="1">
        <v>117</v>
      </c>
      <c r="B118" s="1">
        <v>58</v>
      </c>
    </row>
    <row r="119" spans="1:2" x14ac:dyDescent="0.25">
      <c r="A119" s="1">
        <v>118</v>
      </c>
      <c r="B119" s="1">
        <v>54</v>
      </c>
    </row>
    <row r="120" spans="1:2" x14ac:dyDescent="0.25">
      <c r="A120" s="1">
        <v>119</v>
      </c>
      <c r="B120" s="1">
        <v>36</v>
      </c>
    </row>
    <row r="121" spans="1:2" x14ac:dyDescent="0.25">
      <c r="A121" s="1">
        <v>120</v>
      </c>
      <c r="B121" s="1">
        <v>59</v>
      </c>
    </row>
    <row r="122" spans="1:2" x14ac:dyDescent="0.25">
      <c r="A122" s="1">
        <v>121</v>
      </c>
      <c r="B122" s="1">
        <v>65</v>
      </c>
    </row>
    <row r="123" spans="1:2" x14ac:dyDescent="0.25">
      <c r="A123" s="1">
        <v>122</v>
      </c>
      <c r="B123" s="1">
        <v>12</v>
      </c>
    </row>
    <row r="124" spans="1:2" x14ac:dyDescent="0.25">
      <c r="A124" s="1">
        <v>123</v>
      </c>
      <c r="B124" s="1">
        <v>20</v>
      </c>
    </row>
    <row r="125" spans="1:2" x14ac:dyDescent="0.25">
      <c r="A125" s="1">
        <v>124</v>
      </c>
      <c r="B125" s="1">
        <v>55</v>
      </c>
    </row>
    <row r="126" spans="1:2" x14ac:dyDescent="0.25">
      <c r="A126" s="1">
        <v>125</v>
      </c>
      <c r="B126" s="1">
        <v>80</v>
      </c>
    </row>
    <row r="127" spans="1:2" x14ac:dyDescent="0.25">
      <c r="A127" s="1">
        <v>126</v>
      </c>
      <c r="B127" s="1">
        <v>68</v>
      </c>
    </row>
    <row r="128" spans="1:2" x14ac:dyDescent="0.25">
      <c r="A128" s="1">
        <v>127</v>
      </c>
      <c r="B128" s="1">
        <v>22</v>
      </c>
    </row>
    <row r="129" spans="1:2" x14ac:dyDescent="0.25">
      <c r="A129" s="1">
        <v>128</v>
      </c>
      <c r="B129" s="1">
        <v>11</v>
      </c>
    </row>
    <row r="130" spans="1:2" x14ac:dyDescent="0.25">
      <c r="A130" s="1">
        <v>129</v>
      </c>
      <c r="B130" s="1">
        <v>56</v>
      </c>
    </row>
    <row r="131" spans="1:2" x14ac:dyDescent="0.25">
      <c r="A131" s="1">
        <v>130</v>
      </c>
      <c r="B131" s="1">
        <v>18</v>
      </c>
    </row>
    <row r="132" spans="1:2" x14ac:dyDescent="0.25">
      <c r="A132" s="1">
        <v>131</v>
      </c>
      <c r="B132" s="1">
        <v>10</v>
      </c>
    </row>
    <row r="133" spans="1:2" x14ac:dyDescent="0.25">
      <c r="A133" s="1">
        <v>132</v>
      </c>
      <c r="B133" s="1">
        <v>59</v>
      </c>
    </row>
    <row r="134" spans="1:2" x14ac:dyDescent="0.25">
      <c r="A134" s="1">
        <v>133</v>
      </c>
      <c r="B134" s="1">
        <v>64</v>
      </c>
    </row>
    <row r="135" spans="1:2" x14ac:dyDescent="0.25">
      <c r="A135" s="1">
        <v>134</v>
      </c>
      <c r="B135" s="1">
        <v>60</v>
      </c>
    </row>
    <row r="136" spans="1:2" x14ac:dyDescent="0.25">
      <c r="A136" s="1">
        <v>135</v>
      </c>
      <c r="B136" s="1">
        <v>69</v>
      </c>
    </row>
    <row r="137" spans="1:2" x14ac:dyDescent="0.25">
      <c r="A137" s="1">
        <v>136</v>
      </c>
      <c r="B137" s="1">
        <v>88</v>
      </c>
    </row>
    <row r="138" spans="1:2" x14ac:dyDescent="0.25">
      <c r="A138" s="1">
        <v>137</v>
      </c>
      <c r="B138" s="1">
        <v>45</v>
      </c>
    </row>
    <row r="139" spans="1:2" x14ac:dyDescent="0.25">
      <c r="A139" s="1">
        <v>138</v>
      </c>
      <c r="B139" s="1">
        <v>100</v>
      </c>
    </row>
    <row r="140" spans="1:2" x14ac:dyDescent="0.25">
      <c r="A140" s="1">
        <v>139</v>
      </c>
      <c r="B140" s="1">
        <v>40</v>
      </c>
    </row>
    <row r="141" spans="1:2" x14ac:dyDescent="0.25">
      <c r="A141" s="1">
        <v>140</v>
      </c>
      <c r="B141" s="1">
        <v>0</v>
      </c>
    </row>
    <row r="142" spans="1:2" x14ac:dyDescent="0.25">
      <c r="A142" s="1">
        <v>141</v>
      </c>
      <c r="B142" s="1">
        <v>36</v>
      </c>
    </row>
    <row r="143" spans="1:2" x14ac:dyDescent="0.25">
      <c r="A143" s="1">
        <v>142</v>
      </c>
      <c r="B143" s="1">
        <v>32</v>
      </c>
    </row>
    <row r="144" spans="1:2" x14ac:dyDescent="0.25">
      <c r="A144" s="1">
        <v>143</v>
      </c>
      <c r="B144" s="1">
        <v>54</v>
      </c>
    </row>
    <row r="145" spans="1:2" x14ac:dyDescent="0.25">
      <c r="A145" s="1">
        <v>144</v>
      </c>
      <c r="B145" s="1">
        <v>28</v>
      </c>
    </row>
    <row r="146" spans="1:2" x14ac:dyDescent="0.25">
      <c r="A146" s="1">
        <v>145</v>
      </c>
      <c r="B146" s="1">
        <v>55</v>
      </c>
    </row>
    <row r="147" spans="1:2" x14ac:dyDescent="0.25">
      <c r="A147" s="1">
        <v>146</v>
      </c>
      <c r="B147" s="1">
        <v>50</v>
      </c>
    </row>
    <row r="148" spans="1:2" x14ac:dyDescent="0.25">
      <c r="A148" s="1">
        <v>147</v>
      </c>
      <c r="B148" s="1">
        <v>20</v>
      </c>
    </row>
    <row r="149" spans="1:2" x14ac:dyDescent="0.25">
      <c r="A149" s="1">
        <v>148</v>
      </c>
      <c r="B149" s="1">
        <v>32</v>
      </c>
    </row>
    <row r="150" spans="1:2" x14ac:dyDescent="0.25">
      <c r="A150" s="1">
        <v>149</v>
      </c>
      <c r="B150" s="1">
        <v>21</v>
      </c>
    </row>
    <row r="151" spans="1:2" x14ac:dyDescent="0.25">
      <c r="A151" s="1">
        <v>150</v>
      </c>
      <c r="B151" s="1">
        <v>81</v>
      </c>
    </row>
    <row r="152" spans="1:2" x14ac:dyDescent="0.25">
      <c r="A152" s="1">
        <v>151</v>
      </c>
      <c r="B152" s="1">
        <v>34</v>
      </c>
    </row>
    <row r="153" spans="1:2" x14ac:dyDescent="0.25">
      <c r="A153" s="1">
        <v>152</v>
      </c>
      <c r="B153" s="1">
        <v>25</v>
      </c>
    </row>
    <row r="154" spans="1:2" x14ac:dyDescent="0.25">
      <c r="A154" s="1">
        <v>153</v>
      </c>
      <c r="B154" s="1">
        <v>35</v>
      </c>
    </row>
    <row r="155" spans="1:2" x14ac:dyDescent="0.25">
      <c r="A155" s="1">
        <v>154</v>
      </c>
      <c r="B155" s="1">
        <v>27</v>
      </c>
    </row>
    <row r="156" spans="1:2" x14ac:dyDescent="0.25">
      <c r="A156" s="1">
        <v>155</v>
      </c>
      <c r="B156" s="1">
        <v>41</v>
      </c>
    </row>
    <row r="157" spans="1:2" x14ac:dyDescent="0.25">
      <c r="A157" s="1">
        <v>156</v>
      </c>
      <c r="B157" s="1">
        <v>64</v>
      </c>
    </row>
    <row r="158" spans="1:2" x14ac:dyDescent="0.25">
      <c r="A158" s="1">
        <v>157</v>
      </c>
      <c r="B158" s="1">
        <v>41</v>
      </c>
    </row>
    <row r="159" spans="1:2" x14ac:dyDescent="0.25">
      <c r="A159" s="1">
        <v>158</v>
      </c>
      <c r="B159" s="1">
        <v>60</v>
      </c>
    </row>
    <row r="160" spans="1:2" x14ac:dyDescent="0.25">
      <c r="A160" s="1">
        <v>159</v>
      </c>
      <c r="B160" s="1">
        <v>25</v>
      </c>
    </row>
    <row r="161" spans="1:2" x14ac:dyDescent="0.25">
      <c r="A161" s="1">
        <v>160</v>
      </c>
      <c r="B161" s="1">
        <v>55</v>
      </c>
    </row>
    <row r="162" spans="1:2" x14ac:dyDescent="0.25">
      <c r="A162" s="1">
        <v>161</v>
      </c>
      <c r="B162" s="1">
        <v>24</v>
      </c>
    </row>
    <row r="163" spans="1:2" x14ac:dyDescent="0.25">
      <c r="A163" s="1">
        <v>162</v>
      </c>
      <c r="B163" s="1">
        <v>68</v>
      </c>
    </row>
    <row r="164" spans="1:2" x14ac:dyDescent="0.25">
      <c r="A164" s="1">
        <v>163</v>
      </c>
      <c r="B164" s="1">
        <v>14</v>
      </c>
    </row>
    <row r="165" spans="1:2" x14ac:dyDescent="0.25">
      <c r="A165" s="1">
        <v>164</v>
      </c>
      <c r="B165" s="1">
        <v>46</v>
      </c>
    </row>
    <row r="166" spans="1:2" x14ac:dyDescent="0.25">
      <c r="A166" s="1">
        <v>165</v>
      </c>
      <c r="B166" s="1">
        <v>29</v>
      </c>
    </row>
    <row r="167" spans="1:2" x14ac:dyDescent="0.25">
      <c r="A167" s="1">
        <v>166</v>
      </c>
      <c r="B167" s="1">
        <v>53</v>
      </c>
    </row>
    <row r="168" spans="1:2" x14ac:dyDescent="0.25">
      <c r="A168" s="1">
        <v>167</v>
      </c>
      <c r="B168" s="1">
        <v>37</v>
      </c>
    </row>
    <row r="169" spans="1:2" x14ac:dyDescent="0.25">
      <c r="A169" s="1">
        <v>168</v>
      </c>
      <c r="B169" s="1">
        <v>63</v>
      </c>
    </row>
    <row r="170" spans="1:2" x14ac:dyDescent="0.25">
      <c r="A170" s="1">
        <v>169</v>
      </c>
      <c r="B170" s="1">
        <v>80</v>
      </c>
    </row>
    <row r="171" spans="1:2" x14ac:dyDescent="0.25">
      <c r="A171" s="1">
        <v>170</v>
      </c>
      <c r="B171" s="1">
        <v>24</v>
      </c>
    </row>
    <row r="172" spans="1:2" x14ac:dyDescent="0.25">
      <c r="A172" s="1">
        <v>171</v>
      </c>
      <c r="B172" s="1">
        <v>74</v>
      </c>
    </row>
    <row r="173" spans="1:2" x14ac:dyDescent="0.25">
      <c r="A173" s="1">
        <v>172</v>
      </c>
      <c r="B173" s="1">
        <v>47</v>
      </c>
    </row>
    <row r="174" spans="1:2" x14ac:dyDescent="0.25">
      <c r="A174" s="1">
        <v>173</v>
      </c>
      <c r="B174" s="1">
        <v>5</v>
      </c>
    </row>
    <row r="175" spans="1:2" x14ac:dyDescent="0.25">
      <c r="A175" s="1">
        <v>174</v>
      </c>
      <c r="B175" s="1">
        <v>63</v>
      </c>
    </row>
    <row r="176" spans="1:2" x14ac:dyDescent="0.25">
      <c r="A176" s="1">
        <v>175</v>
      </c>
      <c r="B176" s="1">
        <v>56</v>
      </c>
    </row>
    <row r="177" spans="1:2" x14ac:dyDescent="0.25">
      <c r="A177" s="1">
        <v>176</v>
      </c>
      <c r="B177" s="1">
        <v>54</v>
      </c>
    </row>
    <row r="178" spans="1:2" x14ac:dyDescent="0.25">
      <c r="A178" s="1">
        <v>177</v>
      </c>
      <c r="B178" s="1">
        <v>47</v>
      </c>
    </row>
    <row r="179" spans="1:2" x14ac:dyDescent="0.25">
      <c r="A179" s="1">
        <v>178</v>
      </c>
      <c r="B179" s="1">
        <v>49</v>
      </c>
    </row>
    <row r="180" spans="1:2" x14ac:dyDescent="0.25">
      <c r="A180" s="1">
        <v>179</v>
      </c>
      <c r="B180" s="1">
        <v>0</v>
      </c>
    </row>
    <row r="181" spans="1:2" x14ac:dyDescent="0.25">
      <c r="A181" s="1">
        <v>180</v>
      </c>
      <c r="B181" s="1">
        <v>58</v>
      </c>
    </row>
    <row r="182" spans="1:2" x14ac:dyDescent="0.25">
      <c r="A182" s="1">
        <v>181</v>
      </c>
      <c r="B182" s="1">
        <v>72</v>
      </c>
    </row>
    <row r="183" spans="1:2" x14ac:dyDescent="0.25">
      <c r="A183" s="1">
        <v>182</v>
      </c>
      <c r="B183" s="1">
        <v>59</v>
      </c>
    </row>
    <row r="184" spans="1:2" x14ac:dyDescent="0.25">
      <c r="A184" s="1">
        <v>183</v>
      </c>
      <c r="B184" s="1">
        <v>50</v>
      </c>
    </row>
    <row r="185" spans="1:2" x14ac:dyDescent="0.25">
      <c r="A185" s="1">
        <v>184</v>
      </c>
      <c r="B185" s="1">
        <v>56</v>
      </c>
    </row>
    <row r="186" spans="1:2" x14ac:dyDescent="0.25">
      <c r="A186" s="1">
        <v>185</v>
      </c>
      <c r="B186" s="1">
        <v>31</v>
      </c>
    </row>
    <row r="187" spans="1:2" x14ac:dyDescent="0.25">
      <c r="A187" s="1">
        <v>186</v>
      </c>
      <c r="B187" s="1">
        <v>44</v>
      </c>
    </row>
    <row r="188" spans="1:2" x14ac:dyDescent="0.25">
      <c r="A188" s="1">
        <v>187</v>
      </c>
      <c r="B188" s="1">
        <v>43</v>
      </c>
    </row>
    <row r="189" spans="1:2" x14ac:dyDescent="0.25">
      <c r="A189" s="1">
        <v>188</v>
      </c>
      <c r="B189" s="1">
        <v>50</v>
      </c>
    </row>
    <row r="190" spans="1:2" x14ac:dyDescent="0.25">
      <c r="A190" s="1">
        <v>189</v>
      </c>
      <c r="B190" s="1">
        <v>58</v>
      </c>
    </row>
    <row r="191" spans="1:2" x14ac:dyDescent="0.25">
      <c r="A191" s="1">
        <v>190</v>
      </c>
      <c r="B191" s="1">
        <v>10</v>
      </c>
    </row>
    <row r="192" spans="1:2" x14ac:dyDescent="0.25">
      <c r="A192" s="1">
        <v>191</v>
      </c>
      <c r="B192" s="1">
        <v>34</v>
      </c>
    </row>
    <row r="193" spans="1:2" x14ac:dyDescent="0.25">
      <c r="A193" s="1">
        <v>192</v>
      </c>
      <c r="B193" s="1">
        <v>5</v>
      </c>
    </row>
    <row r="194" spans="1:2" x14ac:dyDescent="0.25">
      <c r="A194" s="1">
        <v>193</v>
      </c>
      <c r="B194" s="1">
        <v>73</v>
      </c>
    </row>
    <row r="195" spans="1:2" x14ac:dyDescent="0.25">
      <c r="A195" s="1">
        <v>194</v>
      </c>
      <c r="B195" s="1">
        <v>84</v>
      </c>
    </row>
    <row r="196" spans="1:2" x14ac:dyDescent="0.25">
      <c r="A196" s="1">
        <v>195</v>
      </c>
      <c r="B196" s="1">
        <v>46</v>
      </c>
    </row>
    <row r="197" spans="1:2" x14ac:dyDescent="0.25">
      <c r="A197" s="1">
        <v>196</v>
      </c>
      <c r="B197" s="1">
        <v>51</v>
      </c>
    </row>
    <row r="198" spans="1:2" x14ac:dyDescent="0.25">
      <c r="A198" s="1">
        <v>197</v>
      </c>
      <c r="B198" s="1">
        <v>75</v>
      </c>
    </row>
    <row r="199" spans="1:2" x14ac:dyDescent="0.25">
      <c r="A199" s="1">
        <v>198</v>
      </c>
      <c r="B199" s="1">
        <v>20</v>
      </c>
    </row>
    <row r="200" spans="1:2" x14ac:dyDescent="0.25">
      <c r="A200" s="1">
        <v>199</v>
      </c>
      <c r="B200" s="1">
        <v>50</v>
      </c>
    </row>
    <row r="201" spans="1:2" x14ac:dyDescent="0.25">
      <c r="A201" s="1">
        <v>200</v>
      </c>
      <c r="B201" s="1">
        <v>22</v>
      </c>
    </row>
    <row r="202" spans="1:2" x14ac:dyDescent="0.25">
      <c r="A202" s="1">
        <v>201</v>
      </c>
      <c r="B202" s="1">
        <v>76</v>
      </c>
    </row>
    <row r="203" spans="1:2" x14ac:dyDescent="0.25">
      <c r="A203" s="1">
        <v>202</v>
      </c>
      <c r="B203" s="1">
        <v>47</v>
      </c>
    </row>
    <row r="204" spans="1:2" x14ac:dyDescent="0.25">
      <c r="A204" s="1">
        <v>203</v>
      </c>
      <c r="B204" s="1">
        <v>74</v>
      </c>
    </row>
    <row r="205" spans="1:2" x14ac:dyDescent="0.25">
      <c r="A205" s="1">
        <v>204</v>
      </c>
      <c r="B205" s="1">
        <v>57</v>
      </c>
    </row>
    <row r="206" spans="1:2" x14ac:dyDescent="0.25">
      <c r="A206" s="1">
        <v>205</v>
      </c>
      <c r="B206" s="1">
        <v>96</v>
      </c>
    </row>
    <row r="207" spans="1:2" x14ac:dyDescent="0.25">
      <c r="A207" s="1">
        <v>206</v>
      </c>
      <c r="B207" s="1">
        <v>69</v>
      </c>
    </row>
    <row r="208" spans="1:2" x14ac:dyDescent="0.25">
      <c r="A208" s="1">
        <v>207</v>
      </c>
      <c r="B208" s="1">
        <v>21</v>
      </c>
    </row>
    <row r="209" spans="1:2" x14ac:dyDescent="0.25">
      <c r="A209" s="1">
        <v>208</v>
      </c>
      <c r="B209" s="1">
        <v>56</v>
      </c>
    </row>
    <row r="210" spans="1:2" x14ac:dyDescent="0.25">
      <c r="A210" s="1">
        <v>209</v>
      </c>
      <c r="B210" s="1">
        <v>30</v>
      </c>
    </row>
    <row r="211" spans="1:2" x14ac:dyDescent="0.25">
      <c r="A211" s="1">
        <v>210</v>
      </c>
      <c r="B211" s="1">
        <v>22</v>
      </c>
    </row>
    <row r="212" spans="1:2" x14ac:dyDescent="0.25">
      <c r="A212" s="1">
        <v>211</v>
      </c>
      <c r="B212" s="1">
        <v>36</v>
      </c>
    </row>
    <row r="213" spans="1:2" x14ac:dyDescent="0.25">
      <c r="A213" s="1">
        <v>212</v>
      </c>
      <c r="B213" s="1">
        <v>24</v>
      </c>
    </row>
    <row r="214" spans="1:2" x14ac:dyDescent="0.25">
      <c r="A214" s="1">
        <v>213</v>
      </c>
      <c r="B214" s="1">
        <v>75</v>
      </c>
    </row>
    <row r="215" spans="1:2" x14ac:dyDescent="0.25">
      <c r="A215" s="1">
        <v>214</v>
      </c>
      <c r="B215" s="1">
        <v>32</v>
      </c>
    </row>
    <row r="216" spans="1:2" x14ac:dyDescent="0.25">
      <c r="A216" s="1">
        <v>215</v>
      </c>
      <c r="B216" s="1">
        <v>55</v>
      </c>
    </row>
    <row r="217" spans="1:2" x14ac:dyDescent="0.25">
      <c r="A217" s="1">
        <v>216</v>
      </c>
      <c r="B217" s="1">
        <v>23</v>
      </c>
    </row>
    <row r="218" spans="1:2" x14ac:dyDescent="0.25">
      <c r="A218" s="1">
        <v>217</v>
      </c>
      <c r="B218" s="1">
        <v>66</v>
      </c>
    </row>
    <row r="219" spans="1:2" x14ac:dyDescent="0.25">
      <c r="A219" s="1">
        <v>218</v>
      </c>
      <c r="B219" s="1">
        <v>52</v>
      </c>
    </row>
    <row r="220" spans="1:2" x14ac:dyDescent="0.25">
      <c r="A220" s="1">
        <v>219</v>
      </c>
      <c r="B220" s="1">
        <v>48</v>
      </c>
    </row>
    <row r="221" spans="1:2" x14ac:dyDescent="0.25">
      <c r="A221" s="1">
        <v>220</v>
      </c>
      <c r="B221" s="1">
        <v>39</v>
      </c>
    </row>
    <row r="222" spans="1:2" x14ac:dyDescent="0.25">
      <c r="A222" s="1">
        <v>221</v>
      </c>
      <c r="B222" s="1">
        <v>57</v>
      </c>
    </row>
    <row r="223" spans="1:2" x14ac:dyDescent="0.25">
      <c r="A223" s="1">
        <v>222</v>
      </c>
      <c r="B223" s="1">
        <v>70</v>
      </c>
    </row>
    <row r="224" spans="1:2" x14ac:dyDescent="0.25">
      <c r="A224" s="1">
        <v>223</v>
      </c>
      <c r="B224" s="1">
        <v>71</v>
      </c>
    </row>
    <row r="225" spans="1:2" x14ac:dyDescent="0.25">
      <c r="A225" s="1">
        <v>224</v>
      </c>
      <c r="B225" s="1">
        <v>39</v>
      </c>
    </row>
    <row r="226" spans="1:2" x14ac:dyDescent="0.25">
      <c r="A226" s="1">
        <v>225</v>
      </c>
      <c r="B226" s="1">
        <v>40</v>
      </c>
    </row>
    <row r="227" spans="1:2" x14ac:dyDescent="0.25">
      <c r="A227" s="1">
        <v>226</v>
      </c>
      <c r="B227" s="1">
        <v>29</v>
      </c>
    </row>
    <row r="228" spans="1:2" x14ac:dyDescent="0.25">
      <c r="A228" s="1">
        <v>227</v>
      </c>
      <c r="B228" s="1">
        <v>22</v>
      </c>
    </row>
    <row r="229" spans="1:2" x14ac:dyDescent="0.25">
      <c r="A229" s="1">
        <v>228</v>
      </c>
      <c r="B229" s="1">
        <v>64</v>
      </c>
    </row>
    <row r="230" spans="1:2" x14ac:dyDescent="0.25">
      <c r="A230" s="1">
        <v>229</v>
      </c>
      <c r="B230" s="1">
        <v>36</v>
      </c>
    </row>
    <row r="231" spans="1:2" x14ac:dyDescent="0.25">
      <c r="A231" s="1">
        <v>230</v>
      </c>
      <c r="B231" s="1">
        <v>66</v>
      </c>
    </row>
    <row r="232" spans="1:2" x14ac:dyDescent="0.25">
      <c r="A232" s="1">
        <v>231</v>
      </c>
      <c r="B232" s="1">
        <v>51</v>
      </c>
    </row>
    <row r="233" spans="1:2" x14ac:dyDescent="0.25">
      <c r="A233" s="1">
        <v>232</v>
      </c>
      <c r="B233" s="1">
        <v>47</v>
      </c>
    </row>
    <row r="234" spans="1:2" x14ac:dyDescent="0.25">
      <c r="A234" s="1">
        <v>233</v>
      </c>
      <c r="B234" s="1">
        <v>49</v>
      </c>
    </row>
    <row r="235" spans="1:2" x14ac:dyDescent="0.25">
      <c r="A235" s="1">
        <v>234</v>
      </c>
      <c r="B235" s="1">
        <v>24</v>
      </c>
    </row>
    <row r="236" spans="1:2" x14ac:dyDescent="0.25">
      <c r="A236" s="1">
        <v>235</v>
      </c>
      <c r="B236" s="1">
        <v>74</v>
      </c>
    </row>
    <row r="237" spans="1:2" x14ac:dyDescent="0.25">
      <c r="A237" s="1">
        <v>236</v>
      </c>
      <c r="B237" s="1">
        <v>26</v>
      </c>
    </row>
    <row r="238" spans="1:2" x14ac:dyDescent="0.25">
      <c r="A238" s="1">
        <v>237</v>
      </c>
      <c r="B238" s="1">
        <v>32</v>
      </c>
    </row>
    <row r="239" spans="1:2" x14ac:dyDescent="0.25">
      <c r="A239" s="1">
        <v>238</v>
      </c>
      <c r="B239" s="1">
        <v>25</v>
      </c>
    </row>
    <row r="240" spans="1:2" x14ac:dyDescent="0.25">
      <c r="A240" s="1">
        <v>239</v>
      </c>
      <c r="B240" s="1">
        <v>23</v>
      </c>
    </row>
    <row r="241" spans="1:2" x14ac:dyDescent="0.25">
      <c r="A241" s="1">
        <v>240</v>
      </c>
      <c r="B241" s="1">
        <v>44</v>
      </c>
    </row>
    <row r="242" spans="1:2" x14ac:dyDescent="0.25">
      <c r="A242" s="1">
        <v>241</v>
      </c>
      <c r="B242" s="1">
        <v>75</v>
      </c>
    </row>
    <row r="243" spans="1:2" x14ac:dyDescent="0.25">
      <c r="A243" s="1">
        <v>242</v>
      </c>
      <c r="B243" s="1">
        <v>39</v>
      </c>
    </row>
    <row r="244" spans="1:2" x14ac:dyDescent="0.25">
      <c r="A244" s="1">
        <v>243</v>
      </c>
      <c r="B244" s="1">
        <v>63</v>
      </c>
    </row>
    <row r="245" spans="1:2" x14ac:dyDescent="0.25">
      <c r="A245" s="1">
        <v>244</v>
      </c>
      <c r="B245" s="1">
        <v>53</v>
      </c>
    </row>
    <row r="246" spans="1:2" x14ac:dyDescent="0.25">
      <c r="A246" s="1">
        <v>245</v>
      </c>
      <c r="B246" s="1">
        <v>88</v>
      </c>
    </row>
    <row r="247" spans="1:2" x14ac:dyDescent="0.25">
      <c r="A247" s="1">
        <v>246</v>
      </c>
      <c r="B247" s="1">
        <v>36</v>
      </c>
    </row>
    <row r="248" spans="1:2" x14ac:dyDescent="0.25">
      <c r="A248" s="1">
        <v>247</v>
      </c>
      <c r="B248" s="1">
        <v>53</v>
      </c>
    </row>
    <row r="249" spans="1:2" x14ac:dyDescent="0.25">
      <c r="A249" s="1">
        <v>248</v>
      </c>
      <c r="B249" s="1">
        <v>57</v>
      </c>
    </row>
    <row r="250" spans="1:2" x14ac:dyDescent="0.25">
      <c r="A250" s="1">
        <v>249</v>
      </c>
      <c r="B250" s="1">
        <v>50</v>
      </c>
    </row>
    <row r="251" spans="1:2" x14ac:dyDescent="0.25">
      <c r="A251" s="1">
        <v>250</v>
      </c>
      <c r="B251" s="1">
        <v>37</v>
      </c>
    </row>
  </sheetData>
  <sortState xmlns:xlrd2="http://schemas.microsoft.com/office/spreadsheetml/2017/richdata2" ref="C2:C251">
    <sortCondition ref="C2:C251"/>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87FB9-DF6D-4049-8AAC-FAB33AD5F1C7}">
  <sheetPr codeName="Foglio3">
    <tabColor theme="6" tint="0.39997558519241921"/>
  </sheetPr>
  <dimension ref="A1:B251"/>
  <sheetViews>
    <sheetView showGridLines="0" topLeftCell="A33" workbookViewId="0"/>
  </sheetViews>
  <sheetFormatPr defaultRowHeight="15" x14ac:dyDescent="0.25"/>
  <cols>
    <col min="1" max="1" width="16.140625" bestFit="1" customWidth="1"/>
    <col min="2" max="2" width="28.140625" bestFit="1" customWidth="1"/>
  </cols>
  <sheetData>
    <row r="1" spans="1:2" ht="21" thickTop="1" thickBot="1" x14ac:dyDescent="0.45">
      <c r="A1" s="4" t="s">
        <v>3</v>
      </c>
      <c r="B1" s="4" t="s">
        <v>4</v>
      </c>
    </row>
    <row r="2" spans="1:2" ht="15.75" thickTop="1" x14ac:dyDescent="0.25">
      <c r="A2" s="1">
        <f>Parameters!B2</f>
        <v>68</v>
      </c>
      <c r="B2" s="1">
        <v>3</v>
      </c>
    </row>
    <row r="3" spans="1:2" x14ac:dyDescent="0.25">
      <c r="A3" s="1">
        <f>Parameters!B3</f>
        <v>28</v>
      </c>
      <c r="B3" s="1">
        <v>3</v>
      </c>
    </row>
    <row r="4" spans="1:2" x14ac:dyDescent="0.25">
      <c r="A4" s="1">
        <f>Parameters!B4</f>
        <v>44</v>
      </c>
      <c r="B4" s="1">
        <v>3</v>
      </c>
    </row>
    <row r="5" spans="1:2" x14ac:dyDescent="0.25">
      <c r="A5" s="1">
        <f>Parameters!B5</f>
        <v>63</v>
      </c>
      <c r="B5" s="1">
        <v>1</v>
      </c>
    </row>
    <row r="6" spans="1:2" x14ac:dyDescent="0.25">
      <c r="A6" s="1">
        <f>Parameters!B6</f>
        <v>33</v>
      </c>
      <c r="B6" s="1">
        <v>1</v>
      </c>
    </row>
    <row r="7" spans="1:2" x14ac:dyDescent="0.25">
      <c r="A7" s="1">
        <f>Parameters!B7</f>
        <v>34</v>
      </c>
      <c r="B7" s="1">
        <v>1</v>
      </c>
    </row>
    <row r="8" spans="1:2" x14ac:dyDescent="0.25">
      <c r="A8" s="1">
        <f>Parameters!B8</f>
        <v>51</v>
      </c>
      <c r="B8" s="1">
        <v>2</v>
      </c>
    </row>
    <row r="9" spans="1:2" x14ac:dyDescent="0.25">
      <c r="A9" s="1">
        <f>Parameters!B9</f>
        <v>67</v>
      </c>
      <c r="B9" s="1">
        <v>3</v>
      </c>
    </row>
    <row r="10" spans="1:2" x14ac:dyDescent="0.25">
      <c r="A10" s="1">
        <f>Parameters!B10</f>
        <v>78</v>
      </c>
      <c r="B10" s="1">
        <v>1</v>
      </c>
    </row>
    <row r="11" spans="1:2" x14ac:dyDescent="0.25">
      <c r="A11" s="1">
        <f>Parameters!B11</f>
        <v>55</v>
      </c>
      <c r="B11" s="1">
        <v>2</v>
      </c>
    </row>
    <row r="12" spans="1:2" x14ac:dyDescent="0.25">
      <c r="A12" s="1">
        <f>Parameters!B12</f>
        <v>52</v>
      </c>
      <c r="B12" s="1">
        <v>2</v>
      </c>
    </row>
    <row r="13" spans="1:2" x14ac:dyDescent="0.25">
      <c r="A13" s="1">
        <f>Parameters!B13</f>
        <v>23</v>
      </c>
      <c r="B13" s="1">
        <v>1</v>
      </c>
    </row>
    <row r="14" spans="1:2" x14ac:dyDescent="0.25">
      <c r="A14" s="1">
        <f>Parameters!B14</f>
        <v>24</v>
      </c>
      <c r="B14" s="1">
        <v>2</v>
      </c>
    </row>
    <row r="15" spans="1:2" x14ac:dyDescent="0.25">
      <c r="A15" s="1">
        <f>Parameters!B15</f>
        <v>43</v>
      </c>
      <c r="B15" s="1">
        <v>4</v>
      </c>
    </row>
    <row r="16" spans="1:2" x14ac:dyDescent="0.25">
      <c r="A16" s="1">
        <f>Parameters!B16</f>
        <v>70</v>
      </c>
      <c r="B16" s="1">
        <v>1</v>
      </c>
    </row>
    <row r="17" spans="1:2" x14ac:dyDescent="0.25">
      <c r="A17" s="1">
        <f>Parameters!B17</f>
        <v>66</v>
      </c>
      <c r="B17" s="1">
        <v>2</v>
      </c>
    </row>
    <row r="18" spans="1:2" x14ac:dyDescent="0.25">
      <c r="A18" s="1">
        <f>Parameters!B18</f>
        <v>56</v>
      </c>
      <c r="B18" s="1">
        <v>1</v>
      </c>
    </row>
    <row r="19" spans="1:2" x14ac:dyDescent="0.25">
      <c r="A19" s="1">
        <f>Parameters!B19</f>
        <v>23</v>
      </c>
      <c r="B19" s="1">
        <v>1</v>
      </c>
    </row>
    <row r="20" spans="1:2" x14ac:dyDescent="0.25">
      <c r="A20" s="1">
        <f>Parameters!B20</f>
        <v>58</v>
      </c>
      <c r="B20" s="1">
        <v>4</v>
      </c>
    </row>
    <row r="21" spans="1:2" x14ac:dyDescent="0.25">
      <c r="A21" s="1">
        <f>Parameters!B21</f>
        <v>14</v>
      </c>
      <c r="B21" s="1">
        <v>2</v>
      </c>
    </row>
    <row r="22" spans="1:2" x14ac:dyDescent="0.25">
      <c r="A22" s="1">
        <f>Parameters!B22</f>
        <v>62</v>
      </c>
      <c r="B22" s="1">
        <v>2</v>
      </c>
    </row>
    <row r="23" spans="1:2" x14ac:dyDescent="0.25">
      <c r="A23" s="1">
        <f>Parameters!B23</f>
        <v>70</v>
      </c>
      <c r="B23" s="1">
        <v>4</v>
      </c>
    </row>
    <row r="24" spans="1:2" x14ac:dyDescent="0.25">
      <c r="A24" s="1">
        <f>Parameters!B24</f>
        <v>35</v>
      </c>
      <c r="B24" s="1">
        <v>2</v>
      </c>
    </row>
    <row r="25" spans="1:2" x14ac:dyDescent="0.25">
      <c r="A25" s="1">
        <f>Parameters!B25</f>
        <v>33</v>
      </c>
      <c r="B25" s="1">
        <v>3</v>
      </c>
    </row>
    <row r="26" spans="1:2" x14ac:dyDescent="0.25">
      <c r="A26" s="1">
        <f>Parameters!B26</f>
        <v>40</v>
      </c>
      <c r="B26" s="1">
        <v>3</v>
      </c>
    </row>
    <row r="27" spans="1:2" x14ac:dyDescent="0.25">
      <c r="A27" s="1">
        <f>Parameters!B27</f>
        <v>71</v>
      </c>
      <c r="B27" s="1">
        <v>3</v>
      </c>
    </row>
    <row r="28" spans="1:2" x14ac:dyDescent="0.25">
      <c r="A28" s="1">
        <f>Parameters!B28</f>
        <v>73</v>
      </c>
      <c r="B28" s="1">
        <v>1</v>
      </c>
    </row>
    <row r="29" spans="1:2" x14ac:dyDescent="0.25">
      <c r="A29" s="1">
        <f>Parameters!B29</f>
        <v>60</v>
      </c>
      <c r="B29" s="1">
        <v>3</v>
      </c>
    </row>
    <row r="30" spans="1:2" x14ac:dyDescent="0.25">
      <c r="A30" s="1">
        <f>Parameters!B30</f>
        <v>49</v>
      </c>
      <c r="B30" s="1">
        <v>1</v>
      </c>
    </row>
    <row r="31" spans="1:2" x14ac:dyDescent="0.25">
      <c r="A31" s="1">
        <f>Parameters!B31</f>
        <v>64</v>
      </c>
      <c r="B31" s="1">
        <v>3</v>
      </c>
    </row>
    <row r="32" spans="1:2" x14ac:dyDescent="0.25">
      <c r="A32" s="1">
        <f>Parameters!B32</f>
        <v>50</v>
      </c>
      <c r="B32" s="1">
        <v>1</v>
      </c>
    </row>
    <row r="33" spans="1:2" x14ac:dyDescent="0.25">
      <c r="A33" s="1">
        <f>Parameters!B33</f>
        <v>24</v>
      </c>
      <c r="B33" s="1">
        <v>2</v>
      </c>
    </row>
    <row r="34" spans="1:2" x14ac:dyDescent="0.25">
      <c r="A34" s="1">
        <f>Parameters!B34</f>
        <v>36</v>
      </c>
      <c r="B34" s="1">
        <v>1</v>
      </c>
    </row>
    <row r="35" spans="1:2" x14ac:dyDescent="0.25">
      <c r="A35" s="1">
        <f>Parameters!B35</f>
        <v>33</v>
      </c>
      <c r="B35" s="1">
        <v>2</v>
      </c>
    </row>
    <row r="36" spans="1:2" x14ac:dyDescent="0.25">
      <c r="A36" s="1">
        <f>Parameters!B36</f>
        <v>40</v>
      </c>
      <c r="B36" s="1">
        <v>2</v>
      </c>
    </row>
    <row r="37" spans="1:2" x14ac:dyDescent="0.25">
      <c r="A37" s="1">
        <f>Parameters!B37</f>
        <v>42</v>
      </c>
      <c r="B37" s="1">
        <v>3</v>
      </c>
    </row>
    <row r="38" spans="1:2" x14ac:dyDescent="0.25">
      <c r="A38" s="1">
        <f>Parameters!B38</f>
        <v>53</v>
      </c>
      <c r="B38" s="1">
        <v>3</v>
      </c>
    </row>
    <row r="39" spans="1:2" x14ac:dyDescent="0.25">
      <c r="A39" s="1">
        <f>Parameters!B39</f>
        <v>63</v>
      </c>
      <c r="B39" s="1">
        <v>4</v>
      </c>
    </row>
    <row r="40" spans="1:2" x14ac:dyDescent="0.25">
      <c r="A40" s="1">
        <f>Parameters!B40</f>
        <v>37</v>
      </c>
      <c r="B40" s="1">
        <v>4</v>
      </c>
    </row>
    <row r="41" spans="1:2" x14ac:dyDescent="0.25">
      <c r="A41" s="1">
        <f>Parameters!B41</f>
        <v>79</v>
      </c>
      <c r="B41" s="1">
        <v>4</v>
      </c>
    </row>
    <row r="42" spans="1:2" x14ac:dyDescent="0.25">
      <c r="A42" s="1">
        <f>Parameters!B42</f>
        <v>46</v>
      </c>
      <c r="B42" s="1">
        <v>2</v>
      </c>
    </row>
    <row r="43" spans="1:2" x14ac:dyDescent="0.25">
      <c r="A43" s="1">
        <f>Parameters!B43</f>
        <v>46</v>
      </c>
      <c r="B43" s="1">
        <v>3</v>
      </c>
    </row>
    <row r="44" spans="1:2" x14ac:dyDescent="0.25">
      <c r="A44" s="1">
        <f>Parameters!B44</f>
        <v>85</v>
      </c>
      <c r="B44" s="1">
        <v>1</v>
      </c>
    </row>
    <row r="45" spans="1:2" x14ac:dyDescent="0.25">
      <c r="A45" s="1">
        <f>Parameters!B45</f>
        <v>66</v>
      </c>
      <c r="B45" s="1">
        <v>1</v>
      </c>
    </row>
    <row r="46" spans="1:2" x14ac:dyDescent="0.25">
      <c r="A46" s="1">
        <f>Parameters!B46</f>
        <v>60</v>
      </c>
      <c r="B46" s="1">
        <v>3</v>
      </c>
    </row>
    <row r="47" spans="1:2" x14ac:dyDescent="0.25">
      <c r="A47" s="1">
        <f>Parameters!B47</f>
        <v>46</v>
      </c>
      <c r="B47" s="1">
        <v>4</v>
      </c>
    </row>
    <row r="48" spans="1:2" x14ac:dyDescent="0.25">
      <c r="A48" s="1">
        <f>Parameters!B48</f>
        <v>50</v>
      </c>
      <c r="B48" s="1">
        <v>2</v>
      </c>
    </row>
    <row r="49" spans="1:2" x14ac:dyDescent="0.25">
      <c r="A49" s="1">
        <f>Parameters!B49</f>
        <v>29</v>
      </c>
      <c r="B49" s="1">
        <v>2</v>
      </c>
    </row>
    <row r="50" spans="1:2" x14ac:dyDescent="0.25">
      <c r="A50" s="1">
        <f>Parameters!B50</f>
        <v>63</v>
      </c>
      <c r="B50" s="1">
        <v>1</v>
      </c>
    </row>
    <row r="51" spans="1:2" x14ac:dyDescent="0.25">
      <c r="A51" s="1">
        <f>Parameters!B51</f>
        <v>43</v>
      </c>
      <c r="B51" s="1">
        <v>3</v>
      </c>
    </row>
    <row r="52" spans="1:2" x14ac:dyDescent="0.25">
      <c r="A52" s="1">
        <f>Parameters!B52</f>
        <v>42</v>
      </c>
      <c r="B52" s="1">
        <v>4</v>
      </c>
    </row>
    <row r="53" spans="1:2" x14ac:dyDescent="0.25">
      <c r="A53" s="1">
        <f>Parameters!B53</f>
        <v>35</v>
      </c>
      <c r="B53" s="1">
        <v>1</v>
      </c>
    </row>
    <row r="54" spans="1:2" x14ac:dyDescent="0.25">
      <c r="A54" s="1">
        <f>Parameters!B54</f>
        <v>62</v>
      </c>
      <c r="B54" s="1">
        <v>3</v>
      </c>
    </row>
    <row r="55" spans="1:2" x14ac:dyDescent="0.25">
      <c r="A55" s="1">
        <f>Parameters!B55</f>
        <v>61</v>
      </c>
      <c r="B55" s="1">
        <v>4</v>
      </c>
    </row>
    <row r="56" spans="1:2" x14ac:dyDescent="0.25">
      <c r="A56" s="1">
        <f>Parameters!B56</f>
        <v>0</v>
      </c>
      <c r="B56" s="1">
        <v>1</v>
      </c>
    </row>
    <row r="57" spans="1:2" x14ac:dyDescent="0.25">
      <c r="A57" s="1">
        <f>Parameters!B57</f>
        <v>51</v>
      </c>
      <c r="B57" s="1">
        <v>1</v>
      </c>
    </row>
    <row r="58" spans="1:2" x14ac:dyDescent="0.25">
      <c r="A58" s="1">
        <f>Parameters!B58</f>
        <v>48</v>
      </c>
      <c r="B58" s="1">
        <v>1</v>
      </c>
    </row>
    <row r="59" spans="1:2" x14ac:dyDescent="0.25">
      <c r="A59" s="1">
        <f>Parameters!B59</f>
        <v>49</v>
      </c>
      <c r="B59" s="1">
        <v>2</v>
      </c>
    </row>
    <row r="60" spans="1:2" x14ac:dyDescent="0.25">
      <c r="A60" s="1">
        <f>Parameters!B60</f>
        <v>49</v>
      </c>
      <c r="B60" s="1">
        <v>3</v>
      </c>
    </row>
    <row r="61" spans="1:2" x14ac:dyDescent="0.25">
      <c r="A61" s="1">
        <f>Parameters!B61</f>
        <v>54</v>
      </c>
      <c r="B61" s="1">
        <v>1</v>
      </c>
    </row>
    <row r="62" spans="1:2" x14ac:dyDescent="0.25">
      <c r="A62" s="1">
        <f>Parameters!B62</f>
        <v>9</v>
      </c>
      <c r="B62" s="1">
        <v>2</v>
      </c>
    </row>
    <row r="63" spans="1:2" x14ac:dyDescent="0.25">
      <c r="A63" s="1">
        <f>Parameters!B63</f>
        <v>50</v>
      </c>
      <c r="B63" s="1">
        <v>4</v>
      </c>
    </row>
    <row r="64" spans="1:2" x14ac:dyDescent="0.25">
      <c r="A64" s="1">
        <f>Parameters!B64</f>
        <v>50</v>
      </c>
      <c r="B64" s="1">
        <v>3</v>
      </c>
    </row>
    <row r="65" spans="1:2" x14ac:dyDescent="0.25">
      <c r="A65" s="1">
        <f>Parameters!B65</f>
        <v>29</v>
      </c>
      <c r="B65" s="1">
        <v>1</v>
      </c>
    </row>
    <row r="66" spans="1:2" x14ac:dyDescent="0.25">
      <c r="A66" s="1">
        <f>Parameters!B66</f>
        <v>21</v>
      </c>
      <c r="B66" s="1">
        <v>1</v>
      </c>
    </row>
    <row r="67" spans="1:2" x14ac:dyDescent="0.25">
      <c r="A67" s="1">
        <f>Parameters!B67</f>
        <v>62</v>
      </c>
      <c r="B67" s="1">
        <v>2</v>
      </c>
    </row>
    <row r="68" spans="1:2" x14ac:dyDescent="0.25">
      <c r="A68" s="1">
        <f>Parameters!B68</f>
        <v>36</v>
      </c>
      <c r="B68" s="1">
        <v>3</v>
      </c>
    </row>
    <row r="69" spans="1:2" x14ac:dyDescent="0.25">
      <c r="A69" s="1">
        <f>Parameters!B69</f>
        <v>31</v>
      </c>
      <c r="B69" s="1">
        <v>3</v>
      </c>
    </row>
    <row r="70" spans="1:2" x14ac:dyDescent="0.25">
      <c r="A70" s="1">
        <f>Parameters!B70</f>
        <v>70</v>
      </c>
      <c r="B70" s="1">
        <v>3</v>
      </c>
    </row>
    <row r="71" spans="1:2" x14ac:dyDescent="0.25">
      <c r="A71" s="1">
        <f>Parameters!B71</f>
        <v>73</v>
      </c>
      <c r="B71" s="1">
        <v>3</v>
      </c>
    </row>
    <row r="72" spans="1:2" x14ac:dyDescent="0.25">
      <c r="A72" s="1">
        <f>Parameters!B72</f>
        <v>64</v>
      </c>
      <c r="B72" s="1">
        <v>4</v>
      </c>
    </row>
    <row r="73" spans="1:2" x14ac:dyDescent="0.25">
      <c r="A73" s="1">
        <f>Parameters!B73</f>
        <v>21</v>
      </c>
      <c r="B73" s="1">
        <v>4</v>
      </c>
    </row>
    <row r="74" spans="1:2" x14ac:dyDescent="0.25">
      <c r="A74" s="1">
        <f>Parameters!B74</f>
        <v>63</v>
      </c>
      <c r="B74" s="1">
        <v>1</v>
      </c>
    </row>
    <row r="75" spans="1:2" x14ac:dyDescent="0.25">
      <c r="A75" s="1">
        <f>Parameters!B75</f>
        <v>42</v>
      </c>
      <c r="B75" s="1">
        <v>1</v>
      </c>
    </row>
    <row r="76" spans="1:2" x14ac:dyDescent="0.25">
      <c r="A76" s="1">
        <f>Parameters!B76</f>
        <v>6</v>
      </c>
      <c r="B76" s="1">
        <v>2</v>
      </c>
    </row>
    <row r="77" spans="1:2" x14ac:dyDescent="0.25">
      <c r="A77" s="1">
        <f>Parameters!B77</f>
        <v>56</v>
      </c>
      <c r="B77" s="1">
        <v>4</v>
      </c>
    </row>
    <row r="78" spans="1:2" x14ac:dyDescent="0.25">
      <c r="A78" s="1">
        <f>Parameters!B78</f>
        <v>53</v>
      </c>
      <c r="B78" s="1">
        <v>1</v>
      </c>
    </row>
    <row r="79" spans="1:2" x14ac:dyDescent="0.25">
      <c r="A79" s="1">
        <f>Parameters!B79</f>
        <v>46</v>
      </c>
      <c r="B79" s="1">
        <v>3</v>
      </c>
    </row>
    <row r="80" spans="1:2" x14ac:dyDescent="0.25">
      <c r="A80" s="1">
        <f>Parameters!B80</f>
        <v>47</v>
      </c>
      <c r="B80" s="1">
        <v>4</v>
      </c>
    </row>
    <row r="81" spans="1:2" x14ac:dyDescent="0.25">
      <c r="A81" s="1">
        <f>Parameters!B81</f>
        <v>26</v>
      </c>
      <c r="B81" s="1">
        <v>3</v>
      </c>
    </row>
    <row r="82" spans="1:2" x14ac:dyDescent="0.25">
      <c r="A82" s="1">
        <f>Parameters!B82</f>
        <v>13</v>
      </c>
      <c r="B82" s="1">
        <v>3</v>
      </c>
    </row>
    <row r="83" spans="1:2" x14ac:dyDescent="0.25">
      <c r="A83" s="1">
        <f>Parameters!B83</f>
        <v>73</v>
      </c>
      <c r="B83" s="1">
        <v>1</v>
      </c>
    </row>
    <row r="84" spans="1:2" x14ac:dyDescent="0.25">
      <c r="A84" s="1">
        <f>Parameters!B84</f>
        <v>51</v>
      </c>
      <c r="B84" s="1">
        <v>4</v>
      </c>
    </row>
    <row r="85" spans="1:2" x14ac:dyDescent="0.25">
      <c r="A85" s="1">
        <f>Parameters!B85</f>
        <v>20</v>
      </c>
      <c r="B85" s="1">
        <v>1</v>
      </c>
    </row>
    <row r="86" spans="1:2" x14ac:dyDescent="0.25">
      <c r="A86" s="1">
        <f>Parameters!B86</f>
        <v>89</v>
      </c>
      <c r="B86" s="1">
        <v>4</v>
      </c>
    </row>
    <row r="87" spans="1:2" x14ac:dyDescent="0.25">
      <c r="A87" s="1">
        <f>Parameters!B87</f>
        <v>27</v>
      </c>
      <c r="B87" s="1">
        <v>1</v>
      </c>
    </row>
    <row r="88" spans="1:2" x14ac:dyDescent="0.25">
      <c r="A88" s="1">
        <f>Parameters!B88</f>
        <v>66</v>
      </c>
      <c r="B88" s="1">
        <v>2</v>
      </c>
    </row>
    <row r="89" spans="1:2" x14ac:dyDescent="0.25">
      <c r="A89" s="1">
        <f>Parameters!B89</f>
        <v>54</v>
      </c>
      <c r="B89" s="1">
        <v>3</v>
      </c>
    </row>
    <row r="90" spans="1:2" x14ac:dyDescent="0.25">
      <c r="A90" s="1">
        <f>Parameters!B90</f>
        <v>35</v>
      </c>
      <c r="B90" s="1">
        <v>3</v>
      </c>
    </row>
    <row r="91" spans="1:2" x14ac:dyDescent="0.25">
      <c r="A91" s="1">
        <f>Parameters!B91</f>
        <v>64</v>
      </c>
      <c r="B91" s="1">
        <v>3</v>
      </c>
    </row>
    <row r="92" spans="1:2" x14ac:dyDescent="0.25">
      <c r="A92" s="1">
        <f>Parameters!B92</f>
        <v>37</v>
      </c>
      <c r="B92" s="1">
        <v>3</v>
      </c>
    </row>
    <row r="93" spans="1:2" x14ac:dyDescent="0.25">
      <c r="A93" s="1">
        <f>Parameters!B93</f>
        <v>36</v>
      </c>
      <c r="B93" s="1">
        <v>1</v>
      </c>
    </row>
    <row r="94" spans="1:2" x14ac:dyDescent="0.25">
      <c r="A94" s="1">
        <f>Parameters!B94</f>
        <v>40</v>
      </c>
      <c r="B94" s="1">
        <v>4</v>
      </c>
    </row>
    <row r="95" spans="1:2" x14ac:dyDescent="0.25">
      <c r="A95" s="1">
        <f>Parameters!B95</f>
        <v>43</v>
      </c>
      <c r="B95" s="1">
        <v>4</v>
      </c>
    </row>
    <row r="96" spans="1:2" x14ac:dyDescent="0.25">
      <c r="A96" s="1">
        <f>Parameters!B96</f>
        <v>78</v>
      </c>
      <c r="B96" s="1">
        <v>2</v>
      </c>
    </row>
    <row r="97" spans="1:2" x14ac:dyDescent="0.25">
      <c r="A97" s="1">
        <f>Parameters!B97</f>
        <v>48</v>
      </c>
      <c r="B97" s="1">
        <v>1</v>
      </c>
    </row>
    <row r="98" spans="1:2" x14ac:dyDescent="0.25">
      <c r="A98" s="1">
        <f>Parameters!B98</f>
        <v>64</v>
      </c>
      <c r="B98" s="1">
        <v>2</v>
      </c>
    </row>
    <row r="99" spans="1:2" x14ac:dyDescent="0.25">
      <c r="A99" s="1">
        <f>Parameters!B99</f>
        <v>40</v>
      </c>
      <c r="B99" s="1">
        <v>4</v>
      </c>
    </row>
    <row r="100" spans="1:2" x14ac:dyDescent="0.25">
      <c r="A100" s="1">
        <f>Parameters!B100</f>
        <v>47</v>
      </c>
      <c r="B100" s="1">
        <v>4</v>
      </c>
    </row>
    <row r="101" spans="1:2" x14ac:dyDescent="0.25">
      <c r="A101" s="1">
        <f>Parameters!B101</f>
        <v>60</v>
      </c>
      <c r="B101" s="1">
        <v>4</v>
      </c>
    </row>
    <row r="102" spans="1:2" x14ac:dyDescent="0.25">
      <c r="A102" s="1">
        <f>Parameters!B102</f>
        <v>33</v>
      </c>
      <c r="B102" s="1">
        <v>1</v>
      </c>
    </row>
    <row r="103" spans="1:2" x14ac:dyDescent="0.25">
      <c r="A103" s="1">
        <f>Parameters!B103</f>
        <v>52</v>
      </c>
      <c r="B103" s="1">
        <v>4</v>
      </c>
    </row>
    <row r="104" spans="1:2" x14ac:dyDescent="0.25">
      <c r="A104" s="1">
        <f>Parameters!B104</f>
        <v>30</v>
      </c>
      <c r="B104" s="1">
        <v>1</v>
      </c>
    </row>
    <row r="105" spans="1:2" x14ac:dyDescent="0.25">
      <c r="A105" s="1">
        <f>Parameters!B105</f>
        <v>70</v>
      </c>
      <c r="B105" s="1">
        <v>2</v>
      </c>
    </row>
    <row r="106" spans="1:2" x14ac:dyDescent="0.25">
      <c r="A106" s="1">
        <f>Parameters!B106</f>
        <v>68</v>
      </c>
      <c r="B106" s="1">
        <v>1</v>
      </c>
    </row>
    <row r="107" spans="1:2" x14ac:dyDescent="0.25">
      <c r="A107" s="1">
        <f>Parameters!B107</f>
        <v>61</v>
      </c>
      <c r="B107" s="1">
        <v>1</v>
      </c>
    </row>
    <row r="108" spans="1:2" x14ac:dyDescent="0.25">
      <c r="A108" s="1">
        <f>Parameters!B108</f>
        <v>37</v>
      </c>
      <c r="B108" s="1">
        <v>4</v>
      </c>
    </row>
    <row r="109" spans="1:2" x14ac:dyDescent="0.25">
      <c r="A109" s="1">
        <f>Parameters!B109</f>
        <v>39</v>
      </c>
      <c r="B109" s="1">
        <v>4</v>
      </c>
    </row>
    <row r="110" spans="1:2" x14ac:dyDescent="0.25">
      <c r="A110" s="1">
        <f>Parameters!B110</f>
        <v>62</v>
      </c>
      <c r="B110" s="1">
        <v>2</v>
      </c>
    </row>
    <row r="111" spans="1:2" x14ac:dyDescent="0.25">
      <c r="A111" s="1">
        <f>Parameters!B111</f>
        <v>21</v>
      </c>
      <c r="B111" s="1">
        <v>1</v>
      </c>
    </row>
    <row r="112" spans="1:2" x14ac:dyDescent="0.25">
      <c r="A112" s="1">
        <f>Parameters!B112</f>
        <v>26</v>
      </c>
      <c r="B112" s="1">
        <v>4</v>
      </c>
    </row>
    <row r="113" spans="1:2" x14ac:dyDescent="0.25">
      <c r="A113" s="1">
        <f>Parameters!B113</f>
        <v>100</v>
      </c>
      <c r="B113" s="1">
        <v>1</v>
      </c>
    </row>
    <row r="114" spans="1:2" x14ac:dyDescent="0.25">
      <c r="A114" s="1">
        <f>Parameters!B114</f>
        <v>25</v>
      </c>
      <c r="B114" s="1">
        <v>4</v>
      </c>
    </row>
    <row r="115" spans="1:2" x14ac:dyDescent="0.25">
      <c r="A115" s="1">
        <f>Parameters!B115</f>
        <v>37</v>
      </c>
      <c r="B115" s="1">
        <v>2</v>
      </c>
    </row>
    <row r="116" spans="1:2" x14ac:dyDescent="0.25">
      <c r="A116" s="1">
        <f>Parameters!B116</f>
        <v>21</v>
      </c>
      <c r="B116" s="1">
        <v>2</v>
      </c>
    </row>
    <row r="117" spans="1:2" x14ac:dyDescent="0.25">
      <c r="A117" s="1">
        <f>Parameters!B117</f>
        <v>32</v>
      </c>
      <c r="B117" s="1">
        <v>3</v>
      </c>
    </row>
    <row r="118" spans="1:2" x14ac:dyDescent="0.25">
      <c r="A118" s="1">
        <f>Parameters!B118</f>
        <v>58</v>
      </c>
      <c r="B118" s="1">
        <v>2</v>
      </c>
    </row>
    <row r="119" spans="1:2" x14ac:dyDescent="0.25">
      <c r="A119" s="1">
        <f>Parameters!B119</f>
        <v>54</v>
      </c>
      <c r="B119" s="1">
        <v>3</v>
      </c>
    </row>
    <row r="120" spans="1:2" x14ac:dyDescent="0.25">
      <c r="A120" s="1">
        <f>Parameters!B120</f>
        <v>36</v>
      </c>
      <c r="B120" s="1">
        <v>3</v>
      </c>
    </row>
    <row r="121" spans="1:2" x14ac:dyDescent="0.25">
      <c r="A121" s="1">
        <f>Parameters!B121</f>
        <v>59</v>
      </c>
      <c r="B121" s="1">
        <v>2</v>
      </c>
    </row>
    <row r="122" spans="1:2" x14ac:dyDescent="0.25">
      <c r="A122" s="1">
        <f>Parameters!B122</f>
        <v>65</v>
      </c>
      <c r="B122" s="1">
        <v>4</v>
      </c>
    </row>
    <row r="123" spans="1:2" x14ac:dyDescent="0.25">
      <c r="A123" s="1">
        <f>Parameters!B123</f>
        <v>12</v>
      </c>
      <c r="B123" s="1">
        <v>2</v>
      </c>
    </row>
    <row r="124" spans="1:2" x14ac:dyDescent="0.25">
      <c r="A124" s="1">
        <f>Parameters!B124</f>
        <v>20</v>
      </c>
      <c r="B124" s="1">
        <v>2</v>
      </c>
    </row>
    <row r="125" spans="1:2" x14ac:dyDescent="0.25">
      <c r="A125" s="1">
        <f>Parameters!B125</f>
        <v>55</v>
      </c>
      <c r="B125" s="1">
        <v>4</v>
      </c>
    </row>
    <row r="126" spans="1:2" x14ac:dyDescent="0.25">
      <c r="A126" s="1">
        <f>Parameters!B126</f>
        <v>80</v>
      </c>
      <c r="B126" s="1">
        <v>3</v>
      </c>
    </row>
    <row r="127" spans="1:2" x14ac:dyDescent="0.25">
      <c r="A127" s="1">
        <f>Parameters!B127</f>
        <v>68</v>
      </c>
      <c r="B127" s="1">
        <v>3</v>
      </c>
    </row>
    <row r="128" spans="1:2" x14ac:dyDescent="0.25">
      <c r="A128" s="1">
        <f>Parameters!B128</f>
        <v>22</v>
      </c>
      <c r="B128" s="1">
        <v>4</v>
      </c>
    </row>
    <row r="129" spans="1:2" x14ac:dyDescent="0.25">
      <c r="A129" s="1">
        <f>Parameters!B129</f>
        <v>11</v>
      </c>
      <c r="B129" s="1">
        <v>1</v>
      </c>
    </row>
    <row r="130" spans="1:2" x14ac:dyDescent="0.25">
      <c r="A130" s="1">
        <f>Parameters!B130</f>
        <v>56</v>
      </c>
      <c r="B130" s="1">
        <v>3</v>
      </c>
    </row>
    <row r="131" spans="1:2" x14ac:dyDescent="0.25">
      <c r="A131" s="1">
        <f>Parameters!B131</f>
        <v>18</v>
      </c>
      <c r="B131" s="1">
        <v>3</v>
      </c>
    </row>
    <row r="132" spans="1:2" x14ac:dyDescent="0.25">
      <c r="A132" s="1">
        <f>Parameters!B132</f>
        <v>10</v>
      </c>
      <c r="B132" s="1">
        <v>2</v>
      </c>
    </row>
    <row r="133" spans="1:2" x14ac:dyDescent="0.25">
      <c r="A133" s="1">
        <f>Parameters!B133</f>
        <v>59</v>
      </c>
      <c r="B133" s="1">
        <v>2</v>
      </c>
    </row>
    <row r="134" spans="1:2" x14ac:dyDescent="0.25">
      <c r="A134" s="1">
        <f>Parameters!B134</f>
        <v>64</v>
      </c>
      <c r="B134" s="1">
        <v>4</v>
      </c>
    </row>
    <row r="135" spans="1:2" x14ac:dyDescent="0.25">
      <c r="A135" s="1">
        <f>Parameters!B135</f>
        <v>60</v>
      </c>
      <c r="B135" s="1">
        <v>3</v>
      </c>
    </row>
    <row r="136" spans="1:2" x14ac:dyDescent="0.25">
      <c r="A136" s="1">
        <f>Parameters!B136</f>
        <v>69</v>
      </c>
      <c r="B136" s="1">
        <v>1</v>
      </c>
    </row>
    <row r="137" spans="1:2" x14ac:dyDescent="0.25">
      <c r="A137" s="1">
        <f>Parameters!B137</f>
        <v>88</v>
      </c>
      <c r="B137" s="1">
        <v>1</v>
      </c>
    </row>
    <row r="138" spans="1:2" x14ac:dyDescent="0.25">
      <c r="A138" s="1">
        <f>Parameters!B138</f>
        <v>45</v>
      </c>
      <c r="B138" s="1">
        <v>4</v>
      </c>
    </row>
    <row r="139" spans="1:2" x14ac:dyDescent="0.25">
      <c r="A139" s="1">
        <f>Parameters!B139</f>
        <v>100</v>
      </c>
      <c r="B139" s="1">
        <v>1</v>
      </c>
    </row>
    <row r="140" spans="1:2" x14ac:dyDescent="0.25">
      <c r="A140" s="1">
        <f>Parameters!B140</f>
        <v>40</v>
      </c>
      <c r="B140" s="1">
        <v>2</v>
      </c>
    </row>
    <row r="141" spans="1:2" x14ac:dyDescent="0.25">
      <c r="A141" s="1">
        <f>Parameters!B141</f>
        <v>0</v>
      </c>
      <c r="B141" s="1">
        <v>4</v>
      </c>
    </row>
    <row r="142" spans="1:2" x14ac:dyDescent="0.25">
      <c r="A142" s="1">
        <f>Parameters!B142</f>
        <v>36</v>
      </c>
      <c r="B142" s="1">
        <v>1</v>
      </c>
    </row>
    <row r="143" spans="1:2" x14ac:dyDescent="0.25">
      <c r="A143" s="1">
        <f>Parameters!B143</f>
        <v>32</v>
      </c>
      <c r="B143" s="1">
        <v>3</v>
      </c>
    </row>
    <row r="144" spans="1:2" x14ac:dyDescent="0.25">
      <c r="A144" s="1">
        <f>Parameters!B144</f>
        <v>54</v>
      </c>
      <c r="B144" s="1">
        <v>3</v>
      </c>
    </row>
    <row r="145" spans="1:2" x14ac:dyDescent="0.25">
      <c r="A145" s="1">
        <f>Parameters!B145</f>
        <v>28</v>
      </c>
      <c r="B145" s="1">
        <v>2</v>
      </c>
    </row>
    <row r="146" spans="1:2" x14ac:dyDescent="0.25">
      <c r="A146" s="1">
        <f>Parameters!B146</f>
        <v>55</v>
      </c>
      <c r="B146" s="1">
        <v>1</v>
      </c>
    </row>
    <row r="147" spans="1:2" x14ac:dyDescent="0.25">
      <c r="A147" s="1">
        <f>Parameters!B147</f>
        <v>50</v>
      </c>
      <c r="B147" s="1">
        <v>4</v>
      </c>
    </row>
    <row r="148" spans="1:2" x14ac:dyDescent="0.25">
      <c r="A148" s="1">
        <f>Parameters!B148</f>
        <v>20</v>
      </c>
      <c r="B148" s="1">
        <v>3</v>
      </c>
    </row>
    <row r="149" spans="1:2" x14ac:dyDescent="0.25">
      <c r="A149" s="1">
        <f>Parameters!B149</f>
        <v>32</v>
      </c>
      <c r="B149" s="1">
        <v>2</v>
      </c>
    </row>
    <row r="150" spans="1:2" x14ac:dyDescent="0.25">
      <c r="A150" s="1">
        <f>Parameters!B150</f>
        <v>21</v>
      </c>
      <c r="B150" s="1">
        <v>4</v>
      </c>
    </row>
    <row r="151" spans="1:2" x14ac:dyDescent="0.25">
      <c r="A151" s="1">
        <f>Parameters!B151</f>
        <v>81</v>
      </c>
      <c r="B151" s="1">
        <v>4</v>
      </c>
    </row>
    <row r="152" spans="1:2" x14ac:dyDescent="0.25">
      <c r="A152" s="1">
        <f>Parameters!B152</f>
        <v>34</v>
      </c>
      <c r="B152" s="1">
        <v>4</v>
      </c>
    </row>
    <row r="153" spans="1:2" x14ac:dyDescent="0.25">
      <c r="A153" s="1">
        <f>Parameters!B153</f>
        <v>25</v>
      </c>
      <c r="B153" s="1">
        <v>3</v>
      </c>
    </row>
    <row r="154" spans="1:2" x14ac:dyDescent="0.25">
      <c r="A154" s="1">
        <f>Parameters!B154</f>
        <v>35</v>
      </c>
      <c r="B154" s="1">
        <v>2</v>
      </c>
    </row>
    <row r="155" spans="1:2" x14ac:dyDescent="0.25">
      <c r="A155" s="1">
        <f>Parameters!B155</f>
        <v>27</v>
      </c>
      <c r="B155" s="1">
        <v>4</v>
      </c>
    </row>
    <row r="156" spans="1:2" x14ac:dyDescent="0.25">
      <c r="A156" s="1">
        <f>Parameters!B156</f>
        <v>41</v>
      </c>
      <c r="B156" s="1">
        <v>3</v>
      </c>
    </row>
    <row r="157" spans="1:2" x14ac:dyDescent="0.25">
      <c r="A157" s="1">
        <f>Parameters!B157</f>
        <v>64</v>
      </c>
      <c r="B157" s="1">
        <v>4</v>
      </c>
    </row>
    <row r="158" spans="1:2" x14ac:dyDescent="0.25">
      <c r="A158" s="1">
        <f>Parameters!B158</f>
        <v>41</v>
      </c>
      <c r="B158" s="1">
        <v>4</v>
      </c>
    </row>
    <row r="159" spans="1:2" x14ac:dyDescent="0.25">
      <c r="A159" s="1">
        <f>Parameters!B159</f>
        <v>60</v>
      </c>
      <c r="B159" s="1">
        <v>3</v>
      </c>
    </row>
    <row r="160" spans="1:2" x14ac:dyDescent="0.25">
      <c r="A160" s="1">
        <f>Parameters!B160</f>
        <v>25</v>
      </c>
      <c r="B160" s="1">
        <v>2</v>
      </c>
    </row>
    <row r="161" spans="1:2" x14ac:dyDescent="0.25">
      <c r="A161" s="1">
        <f>Parameters!B161</f>
        <v>55</v>
      </c>
      <c r="B161" s="1">
        <v>2</v>
      </c>
    </row>
    <row r="162" spans="1:2" x14ac:dyDescent="0.25">
      <c r="A162" s="1">
        <f>Parameters!B162</f>
        <v>24</v>
      </c>
      <c r="B162" s="1">
        <v>2</v>
      </c>
    </row>
    <row r="163" spans="1:2" x14ac:dyDescent="0.25">
      <c r="A163" s="1">
        <f>Parameters!B163</f>
        <v>68</v>
      </c>
      <c r="B163" s="1">
        <v>3</v>
      </c>
    </row>
    <row r="164" spans="1:2" x14ac:dyDescent="0.25">
      <c r="A164" s="1">
        <f>Parameters!B164</f>
        <v>14</v>
      </c>
      <c r="B164" s="1">
        <v>1</v>
      </c>
    </row>
    <row r="165" spans="1:2" x14ac:dyDescent="0.25">
      <c r="A165" s="1">
        <f>Parameters!B165</f>
        <v>46</v>
      </c>
      <c r="B165" s="1">
        <v>4</v>
      </c>
    </row>
    <row r="166" spans="1:2" x14ac:dyDescent="0.25">
      <c r="A166" s="1">
        <f>Parameters!B166</f>
        <v>29</v>
      </c>
      <c r="B166" s="1">
        <v>3</v>
      </c>
    </row>
    <row r="167" spans="1:2" x14ac:dyDescent="0.25">
      <c r="A167" s="1">
        <f>Parameters!B167</f>
        <v>53</v>
      </c>
      <c r="B167" s="1">
        <v>2</v>
      </c>
    </row>
    <row r="168" spans="1:2" x14ac:dyDescent="0.25">
      <c r="A168" s="1">
        <f>Parameters!B168</f>
        <v>37</v>
      </c>
      <c r="B168" s="1">
        <v>1</v>
      </c>
    </row>
    <row r="169" spans="1:2" x14ac:dyDescent="0.25">
      <c r="A169" s="1">
        <f>Parameters!B169</f>
        <v>63</v>
      </c>
      <c r="B169" s="1">
        <v>3</v>
      </c>
    </row>
    <row r="170" spans="1:2" x14ac:dyDescent="0.25">
      <c r="A170" s="1">
        <f>Parameters!B170</f>
        <v>80</v>
      </c>
      <c r="B170" s="1">
        <v>3</v>
      </c>
    </row>
    <row r="171" spans="1:2" x14ac:dyDescent="0.25">
      <c r="A171" s="1">
        <f>Parameters!B171</f>
        <v>24</v>
      </c>
      <c r="B171" s="1">
        <v>1</v>
      </c>
    </row>
    <row r="172" spans="1:2" x14ac:dyDescent="0.25">
      <c r="A172" s="1">
        <f>Parameters!B172</f>
        <v>74</v>
      </c>
      <c r="B172" s="1">
        <v>4</v>
      </c>
    </row>
    <row r="173" spans="1:2" x14ac:dyDescent="0.25">
      <c r="A173" s="1">
        <f>Parameters!B173</f>
        <v>47</v>
      </c>
      <c r="B173" s="1">
        <v>3</v>
      </c>
    </row>
    <row r="174" spans="1:2" x14ac:dyDescent="0.25">
      <c r="A174" s="1">
        <f>Parameters!B174</f>
        <v>5</v>
      </c>
      <c r="B174" s="1">
        <v>1</v>
      </c>
    </row>
    <row r="175" spans="1:2" x14ac:dyDescent="0.25">
      <c r="A175" s="1">
        <f>Parameters!B175</f>
        <v>63</v>
      </c>
      <c r="B175" s="1">
        <v>4</v>
      </c>
    </row>
    <row r="176" spans="1:2" x14ac:dyDescent="0.25">
      <c r="A176" s="1">
        <f>Parameters!B176</f>
        <v>56</v>
      </c>
      <c r="B176" s="1">
        <v>3</v>
      </c>
    </row>
    <row r="177" spans="1:2" x14ac:dyDescent="0.25">
      <c r="A177" s="1">
        <f>Parameters!B177</f>
        <v>54</v>
      </c>
      <c r="B177" s="1">
        <v>1</v>
      </c>
    </row>
    <row r="178" spans="1:2" x14ac:dyDescent="0.25">
      <c r="A178" s="1">
        <f>Parameters!B178</f>
        <v>47</v>
      </c>
      <c r="B178" s="1">
        <v>1</v>
      </c>
    </row>
    <row r="179" spans="1:2" x14ac:dyDescent="0.25">
      <c r="A179" s="1">
        <f>Parameters!B179</f>
        <v>49</v>
      </c>
      <c r="B179" s="1">
        <v>4</v>
      </c>
    </row>
    <row r="180" spans="1:2" x14ac:dyDescent="0.25">
      <c r="A180" s="1">
        <f>Parameters!B180</f>
        <v>0</v>
      </c>
      <c r="B180" s="1">
        <v>3</v>
      </c>
    </row>
    <row r="181" spans="1:2" x14ac:dyDescent="0.25">
      <c r="A181" s="1">
        <f>Parameters!B181</f>
        <v>58</v>
      </c>
      <c r="B181" s="1">
        <v>3</v>
      </c>
    </row>
    <row r="182" spans="1:2" x14ac:dyDescent="0.25">
      <c r="A182" s="1">
        <f>Parameters!B182</f>
        <v>72</v>
      </c>
      <c r="B182" s="1">
        <v>3</v>
      </c>
    </row>
    <row r="183" spans="1:2" x14ac:dyDescent="0.25">
      <c r="A183" s="1">
        <f>Parameters!B183</f>
        <v>59</v>
      </c>
      <c r="B183" s="1">
        <v>3</v>
      </c>
    </row>
    <row r="184" spans="1:2" x14ac:dyDescent="0.25">
      <c r="A184" s="1">
        <f>Parameters!B184</f>
        <v>50</v>
      </c>
      <c r="B184" s="1">
        <v>4</v>
      </c>
    </row>
    <row r="185" spans="1:2" x14ac:dyDescent="0.25">
      <c r="A185" s="1">
        <f>Parameters!B185</f>
        <v>56</v>
      </c>
      <c r="B185" s="1">
        <v>3</v>
      </c>
    </row>
    <row r="186" spans="1:2" x14ac:dyDescent="0.25">
      <c r="A186" s="1">
        <f>Parameters!B186</f>
        <v>31</v>
      </c>
      <c r="B186" s="1">
        <v>3</v>
      </c>
    </row>
    <row r="187" spans="1:2" x14ac:dyDescent="0.25">
      <c r="A187" s="1">
        <f>Parameters!B187</f>
        <v>44</v>
      </c>
      <c r="B187" s="1">
        <v>2</v>
      </c>
    </row>
    <row r="188" spans="1:2" x14ac:dyDescent="0.25">
      <c r="A188" s="1">
        <f>Parameters!B188</f>
        <v>43</v>
      </c>
      <c r="B188" s="1">
        <v>2</v>
      </c>
    </row>
    <row r="189" spans="1:2" x14ac:dyDescent="0.25">
      <c r="A189" s="1">
        <f>Parameters!B189</f>
        <v>50</v>
      </c>
      <c r="B189" s="1">
        <v>3</v>
      </c>
    </row>
    <row r="190" spans="1:2" x14ac:dyDescent="0.25">
      <c r="A190" s="1">
        <f>Parameters!B190</f>
        <v>58</v>
      </c>
      <c r="B190" s="1">
        <v>2</v>
      </c>
    </row>
    <row r="191" spans="1:2" x14ac:dyDescent="0.25">
      <c r="A191" s="1">
        <f>Parameters!B191</f>
        <v>10</v>
      </c>
      <c r="B191" s="1">
        <v>3</v>
      </c>
    </row>
    <row r="192" spans="1:2" x14ac:dyDescent="0.25">
      <c r="A192" s="1">
        <f>Parameters!B192</f>
        <v>34</v>
      </c>
      <c r="B192" s="1">
        <v>1</v>
      </c>
    </row>
    <row r="193" spans="1:2" x14ac:dyDescent="0.25">
      <c r="A193" s="1">
        <f>Parameters!B193</f>
        <v>5</v>
      </c>
      <c r="B193" s="1">
        <v>4</v>
      </c>
    </row>
    <row r="194" spans="1:2" x14ac:dyDescent="0.25">
      <c r="A194" s="1">
        <f>Parameters!B194</f>
        <v>73</v>
      </c>
      <c r="B194" s="1">
        <v>1</v>
      </c>
    </row>
    <row r="195" spans="1:2" x14ac:dyDescent="0.25">
      <c r="A195" s="1">
        <f>Parameters!B195</f>
        <v>84</v>
      </c>
      <c r="B195" s="1">
        <v>4</v>
      </c>
    </row>
    <row r="196" spans="1:2" x14ac:dyDescent="0.25">
      <c r="A196" s="1">
        <f>Parameters!B196</f>
        <v>46</v>
      </c>
      <c r="B196" s="1">
        <v>4</v>
      </c>
    </row>
    <row r="197" spans="1:2" x14ac:dyDescent="0.25">
      <c r="A197" s="1">
        <f>Parameters!B197</f>
        <v>51</v>
      </c>
      <c r="B197" s="1">
        <v>2</v>
      </c>
    </row>
    <row r="198" spans="1:2" x14ac:dyDescent="0.25">
      <c r="A198" s="1">
        <f>Parameters!B198</f>
        <v>75</v>
      </c>
      <c r="B198" s="1">
        <v>4</v>
      </c>
    </row>
    <row r="199" spans="1:2" x14ac:dyDescent="0.25">
      <c r="A199" s="1">
        <f>Parameters!B199</f>
        <v>20</v>
      </c>
      <c r="B199" s="1">
        <v>3</v>
      </c>
    </row>
    <row r="200" spans="1:2" x14ac:dyDescent="0.25">
      <c r="A200" s="1">
        <f>Parameters!B200</f>
        <v>50</v>
      </c>
      <c r="B200" s="1">
        <v>4</v>
      </c>
    </row>
    <row r="201" spans="1:2" x14ac:dyDescent="0.25">
      <c r="A201" s="1">
        <f>Parameters!B201</f>
        <v>22</v>
      </c>
      <c r="B201" s="1">
        <v>1</v>
      </c>
    </row>
    <row r="202" spans="1:2" x14ac:dyDescent="0.25">
      <c r="A202" s="1">
        <f>Parameters!B202</f>
        <v>76</v>
      </c>
      <c r="B202" s="1">
        <v>3</v>
      </c>
    </row>
    <row r="203" spans="1:2" x14ac:dyDescent="0.25">
      <c r="A203" s="1">
        <f>Parameters!B203</f>
        <v>47</v>
      </c>
      <c r="B203" s="1">
        <v>4</v>
      </c>
    </row>
    <row r="204" spans="1:2" x14ac:dyDescent="0.25">
      <c r="A204" s="1">
        <f>Parameters!B204</f>
        <v>74</v>
      </c>
      <c r="B204" s="1">
        <v>3</v>
      </c>
    </row>
    <row r="205" spans="1:2" x14ac:dyDescent="0.25">
      <c r="A205" s="1">
        <f>Parameters!B205</f>
        <v>57</v>
      </c>
      <c r="B205" s="1">
        <v>4</v>
      </c>
    </row>
    <row r="206" spans="1:2" x14ac:dyDescent="0.25">
      <c r="A206" s="1">
        <f>Parameters!B206</f>
        <v>96</v>
      </c>
      <c r="B206" s="1">
        <v>2</v>
      </c>
    </row>
    <row r="207" spans="1:2" x14ac:dyDescent="0.25">
      <c r="A207" s="1">
        <f>Parameters!B207</f>
        <v>69</v>
      </c>
      <c r="B207" s="1">
        <v>3</v>
      </c>
    </row>
    <row r="208" spans="1:2" x14ac:dyDescent="0.25">
      <c r="A208" s="1">
        <f>Parameters!B208</f>
        <v>21</v>
      </c>
      <c r="B208" s="1">
        <v>1</v>
      </c>
    </row>
    <row r="209" spans="1:2" x14ac:dyDescent="0.25">
      <c r="A209" s="1">
        <f>Parameters!B209</f>
        <v>56</v>
      </c>
      <c r="B209" s="1">
        <v>4</v>
      </c>
    </row>
    <row r="210" spans="1:2" x14ac:dyDescent="0.25">
      <c r="A210" s="1">
        <f>Parameters!B210</f>
        <v>30</v>
      </c>
      <c r="B210" s="1">
        <v>4</v>
      </c>
    </row>
    <row r="211" spans="1:2" x14ac:dyDescent="0.25">
      <c r="A211" s="1">
        <f>Parameters!B211</f>
        <v>22</v>
      </c>
      <c r="B211" s="1">
        <v>3</v>
      </c>
    </row>
    <row r="212" spans="1:2" x14ac:dyDescent="0.25">
      <c r="A212" s="1">
        <f>Parameters!B212</f>
        <v>36</v>
      </c>
      <c r="B212" s="1">
        <v>1</v>
      </c>
    </row>
    <row r="213" spans="1:2" x14ac:dyDescent="0.25">
      <c r="A213" s="1">
        <f>Parameters!B213</f>
        <v>24</v>
      </c>
      <c r="B213" s="1">
        <v>2</v>
      </c>
    </row>
    <row r="214" spans="1:2" x14ac:dyDescent="0.25">
      <c r="A214" s="1">
        <f>Parameters!B214</f>
        <v>75</v>
      </c>
      <c r="B214" s="1">
        <v>2</v>
      </c>
    </row>
    <row r="215" spans="1:2" x14ac:dyDescent="0.25">
      <c r="A215" s="1">
        <f>Parameters!B215</f>
        <v>32</v>
      </c>
      <c r="B215" s="1">
        <v>4</v>
      </c>
    </row>
    <row r="216" spans="1:2" x14ac:dyDescent="0.25">
      <c r="A216" s="1">
        <f>Parameters!B216</f>
        <v>55</v>
      </c>
      <c r="B216" s="1">
        <v>2</v>
      </c>
    </row>
    <row r="217" spans="1:2" x14ac:dyDescent="0.25">
      <c r="A217" s="1">
        <f>Parameters!B217</f>
        <v>23</v>
      </c>
      <c r="B217" s="1">
        <v>3</v>
      </c>
    </row>
    <row r="218" spans="1:2" x14ac:dyDescent="0.25">
      <c r="A218" s="1">
        <f>Parameters!B218</f>
        <v>66</v>
      </c>
      <c r="B218" s="1">
        <v>3</v>
      </c>
    </row>
    <row r="219" spans="1:2" x14ac:dyDescent="0.25">
      <c r="A219" s="1">
        <f>Parameters!B219</f>
        <v>52</v>
      </c>
      <c r="B219" s="1">
        <v>2</v>
      </c>
    </row>
    <row r="220" spans="1:2" x14ac:dyDescent="0.25">
      <c r="A220" s="1">
        <f>Parameters!B220</f>
        <v>48</v>
      </c>
      <c r="B220" s="1">
        <v>4</v>
      </c>
    </row>
    <row r="221" spans="1:2" x14ac:dyDescent="0.25">
      <c r="A221" s="1">
        <f>Parameters!B221</f>
        <v>39</v>
      </c>
      <c r="B221" s="1">
        <v>1</v>
      </c>
    </row>
    <row r="222" spans="1:2" x14ac:dyDescent="0.25">
      <c r="A222" s="1">
        <f>Parameters!B222</f>
        <v>57</v>
      </c>
      <c r="B222" s="1">
        <v>2</v>
      </c>
    </row>
    <row r="223" spans="1:2" x14ac:dyDescent="0.25">
      <c r="A223" s="1">
        <f>Parameters!B223</f>
        <v>70</v>
      </c>
      <c r="B223" s="1">
        <v>3</v>
      </c>
    </row>
    <row r="224" spans="1:2" x14ac:dyDescent="0.25">
      <c r="A224" s="1">
        <f>Parameters!B224</f>
        <v>71</v>
      </c>
      <c r="B224" s="1">
        <v>4</v>
      </c>
    </row>
    <row r="225" spans="1:2" x14ac:dyDescent="0.25">
      <c r="A225" s="1">
        <f>Parameters!B225</f>
        <v>39</v>
      </c>
      <c r="B225" s="1">
        <v>2</v>
      </c>
    </row>
    <row r="226" spans="1:2" x14ac:dyDescent="0.25">
      <c r="A226" s="1">
        <f>Parameters!B226</f>
        <v>40</v>
      </c>
      <c r="B226" s="1">
        <v>2</v>
      </c>
    </row>
    <row r="227" spans="1:2" x14ac:dyDescent="0.25">
      <c r="A227" s="1">
        <f>Parameters!B227</f>
        <v>29</v>
      </c>
      <c r="B227" s="1">
        <v>1</v>
      </c>
    </row>
    <row r="228" spans="1:2" x14ac:dyDescent="0.25">
      <c r="A228" s="1">
        <f>Parameters!B228</f>
        <v>22</v>
      </c>
      <c r="B228" s="1">
        <v>3</v>
      </c>
    </row>
    <row r="229" spans="1:2" x14ac:dyDescent="0.25">
      <c r="A229" s="1">
        <f>Parameters!B229</f>
        <v>64</v>
      </c>
      <c r="B229" s="1">
        <v>4</v>
      </c>
    </row>
    <row r="230" spans="1:2" x14ac:dyDescent="0.25">
      <c r="A230" s="1">
        <f>Parameters!B230</f>
        <v>36</v>
      </c>
      <c r="B230" s="1">
        <v>4</v>
      </c>
    </row>
    <row r="231" spans="1:2" x14ac:dyDescent="0.25">
      <c r="A231" s="1">
        <f>Parameters!B231</f>
        <v>66</v>
      </c>
      <c r="B231" s="1">
        <v>2</v>
      </c>
    </row>
    <row r="232" spans="1:2" x14ac:dyDescent="0.25">
      <c r="A232" s="1">
        <f>Parameters!B232</f>
        <v>51</v>
      </c>
      <c r="B232" s="1">
        <v>4</v>
      </c>
    </row>
    <row r="233" spans="1:2" x14ac:dyDescent="0.25">
      <c r="A233" s="1">
        <f>Parameters!B233</f>
        <v>47</v>
      </c>
      <c r="B233" s="1">
        <v>4</v>
      </c>
    </row>
    <row r="234" spans="1:2" x14ac:dyDescent="0.25">
      <c r="A234" s="1">
        <f>Parameters!B234</f>
        <v>49</v>
      </c>
      <c r="B234" s="1">
        <v>4</v>
      </c>
    </row>
    <row r="235" spans="1:2" x14ac:dyDescent="0.25">
      <c r="A235" s="1">
        <f>Parameters!B235</f>
        <v>24</v>
      </c>
      <c r="B235" s="1">
        <v>2</v>
      </c>
    </row>
    <row r="236" spans="1:2" x14ac:dyDescent="0.25">
      <c r="A236" s="1">
        <f>Parameters!B236</f>
        <v>74</v>
      </c>
      <c r="B236" s="1">
        <v>2</v>
      </c>
    </row>
    <row r="237" spans="1:2" x14ac:dyDescent="0.25">
      <c r="A237" s="1">
        <f>Parameters!B237</f>
        <v>26</v>
      </c>
      <c r="B237" s="1">
        <v>2</v>
      </c>
    </row>
    <row r="238" spans="1:2" x14ac:dyDescent="0.25">
      <c r="A238" s="1">
        <f>Parameters!B238</f>
        <v>32</v>
      </c>
      <c r="B238" s="1">
        <v>2</v>
      </c>
    </row>
    <row r="239" spans="1:2" x14ac:dyDescent="0.25">
      <c r="A239" s="1">
        <f>Parameters!B239</f>
        <v>25</v>
      </c>
      <c r="B239" s="1">
        <v>3</v>
      </c>
    </row>
    <row r="240" spans="1:2" x14ac:dyDescent="0.25">
      <c r="A240" s="1">
        <f>Parameters!B240</f>
        <v>23</v>
      </c>
      <c r="B240" s="1">
        <v>3</v>
      </c>
    </row>
    <row r="241" spans="1:2" x14ac:dyDescent="0.25">
      <c r="A241" s="1">
        <f>Parameters!B241</f>
        <v>44</v>
      </c>
      <c r="B241" s="1">
        <v>1</v>
      </c>
    </row>
    <row r="242" spans="1:2" x14ac:dyDescent="0.25">
      <c r="A242" s="1">
        <f>Parameters!B242</f>
        <v>75</v>
      </c>
      <c r="B242" s="1">
        <v>4</v>
      </c>
    </row>
    <row r="243" spans="1:2" x14ac:dyDescent="0.25">
      <c r="A243" s="1">
        <f>Parameters!B243</f>
        <v>39</v>
      </c>
      <c r="B243" s="1">
        <v>4</v>
      </c>
    </row>
    <row r="244" spans="1:2" x14ac:dyDescent="0.25">
      <c r="A244" s="1">
        <f>Parameters!B244</f>
        <v>63</v>
      </c>
      <c r="B244" s="1">
        <v>4</v>
      </c>
    </row>
    <row r="245" spans="1:2" x14ac:dyDescent="0.25">
      <c r="A245" s="1">
        <f>Parameters!B245</f>
        <v>53</v>
      </c>
      <c r="B245" s="1">
        <v>4</v>
      </c>
    </row>
    <row r="246" spans="1:2" x14ac:dyDescent="0.25">
      <c r="A246" s="1">
        <f>Parameters!B246</f>
        <v>88</v>
      </c>
      <c r="B246" s="1">
        <v>2</v>
      </c>
    </row>
    <row r="247" spans="1:2" x14ac:dyDescent="0.25">
      <c r="A247" s="1">
        <f>Parameters!B247</f>
        <v>36</v>
      </c>
      <c r="B247" s="1">
        <v>4</v>
      </c>
    </row>
    <row r="248" spans="1:2" x14ac:dyDescent="0.25">
      <c r="A248" s="1">
        <f>Parameters!B248</f>
        <v>53</v>
      </c>
      <c r="B248" s="1">
        <v>2</v>
      </c>
    </row>
    <row r="249" spans="1:2" x14ac:dyDescent="0.25">
      <c r="A249" s="1">
        <f>Parameters!B249</f>
        <v>57</v>
      </c>
      <c r="B249" s="1">
        <v>3</v>
      </c>
    </row>
    <row r="250" spans="1:2" x14ac:dyDescent="0.25">
      <c r="A250" s="1">
        <f>Parameters!B250</f>
        <v>50</v>
      </c>
      <c r="B250" s="1">
        <v>4</v>
      </c>
    </row>
    <row r="251" spans="1:2" x14ac:dyDescent="0.25">
      <c r="A251" s="1">
        <f>Parameters!B251</f>
        <v>37</v>
      </c>
      <c r="B251" s="1">
        <v>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32BC4-2ACE-4AF7-B91C-3FA098722CDF}">
  <sheetPr codeName="Foglio8">
    <tabColor rgb="FFFFC000"/>
  </sheetPr>
  <dimension ref="A1:AC70"/>
  <sheetViews>
    <sheetView showGridLines="0" workbookViewId="0">
      <selection activeCell="C5" sqref="C5"/>
    </sheetView>
  </sheetViews>
  <sheetFormatPr defaultRowHeight="15" x14ac:dyDescent="0.25"/>
  <cols>
    <col min="1" max="2" width="9.42578125" bestFit="1" customWidth="1"/>
    <col min="4" max="4" width="19.28515625" bestFit="1" customWidth="1"/>
  </cols>
  <sheetData>
    <row r="1" spans="1:29" ht="21" thickTop="1" thickBot="1" x14ac:dyDescent="0.45">
      <c r="A1" s="4" t="s">
        <v>0</v>
      </c>
      <c r="B1" s="4" t="s">
        <v>2</v>
      </c>
      <c r="AC1">
        <v>1</v>
      </c>
    </row>
    <row r="2" spans="1:29" ht="15.75" thickTop="1" x14ac:dyDescent="0.25">
      <c r="A2" s="1" cm="1">
        <f t="array" ref="A2:B59">_xlfn._xlws.FILTER(Data!A2:B251,Data!B2:B251='Statistical Insight'!A5,"Nessun valore trovato")</f>
        <v>51</v>
      </c>
      <c r="B2" s="1">
        <v>2</v>
      </c>
      <c r="AC2">
        <v>2</v>
      </c>
    </row>
    <row r="3" spans="1:29" x14ac:dyDescent="0.25">
      <c r="A3" s="1">
        <v>55</v>
      </c>
      <c r="B3" s="1">
        <v>2</v>
      </c>
      <c r="AC3">
        <v>3</v>
      </c>
    </row>
    <row r="4" spans="1:29" x14ac:dyDescent="0.25">
      <c r="A4" s="1">
        <v>52</v>
      </c>
      <c r="B4" s="1">
        <v>2</v>
      </c>
      <c r="AC4">
        <v>4</v>
      </c>
    </row>
    <row r="5" spans="1:29" x14ac:dyDescent="0.25">
      <c r="A5" s="1">
        <v>24</v>
      </c>
      <c r="B5" s="1">
        <v>2</v>
      </c>
    </row>
    <row r="6" spans="1:29" x14ac:dyDescent="0.25">
      <c r="A6" s="1">
        <v>66</v>
      </c>
      <c r="B6" s="1">
        <v>2</v>
      </c>
    </row>
    <row r="7" spans="1:29" x14ac:dyDescent="0.25">
      <c r="A7" s="1">
        <v>14</v>
      </c>
      <c r="B7" s="1">
        <v>2</v>
      </c>
    </row>
    <row r="8" spans="1:29" x14ac:dyDescent="0.25">
      <c r="A8" s="1">
        <v>62</v>
      </c>
      <c r="B8" s="1">
        <v>2</v>
      </c>
    </row>
    <row r="9" spans="1:29" x14ac:dyDescent="0.25">
      <c r="A9" s="1">
        <v>35</v>
      </c>
      <c r="B9" s="1">
        <v>2</v>
      </c>
    </row>
    <row r="10" spans="1:29" x14ac:dyDescent="0.25">
      <c r="A10" s="1">
        <v>24</v>
      </c>
      <c r="B10" s="1">
        <v>2</v>
      </c>
    </row>
    <row r="11" spans="1:29" x14ac:dyDescent="0.25">
      <c r="A11" s="1">
        <v>33</v>
      </c>
      <c r="B11" s="1">
        <v>2</v>
      </c>
    </row>
    <row r="12" spans="1:29" x14ac:dyDescent="0.25">
      <c r="A12" s="1">
        <v>40</v>
      </c>
      <c r="B12" s="1">
        <v>2</v>
      </c>
    </row>
    <row r="13" spans="1:29" x14ac:dyDescent="0.25">
      <c r="A13" s="1">
        <v>46</v>
      </c>
      <c r="B13" s="1">
        <v>2</v>
      </c>
    </row>
    <row r="14" spans="1:29" x14ac:dyDescent="0.25">
      <c r="A14" s="1">
        <v>50</v>
      </c>
      <c r="B14" s="1">
        <v>2</v>
      </c>
    </row>
    <row r="15" spans="1:29" x14ac:dyDescent="0.25">
      <c r="A15" s="1">
        <v>29</v>
      </c>
      <c r="B15" s="1">
        <v>2</v>
      </c>
    </row>
    <row r="16" spans="1:29" x14ac:dyDescent="0.25">
      <c r="A16" s="1">
        <v>49</v>
      </c>
      <c r="B16" s="1">
        <v>2</v>
      </c>
    </row>
    <row r="17" spans="1:2" x14ac:dyDescent="0.25">
      <c r="A17" s="1">
        <v>9</v>
      </c>
      <c r="B17" s="1">
        <v>2</v>
      </c>
    </row>
    <row r="18" spans="1:2" x14ac:dyDescent="0.25">
      <c r="A18" s="1">
        <v>62</v>
      </c>
      <c r="B18" s="1">
        <v>2</v>
      </c>
    </row>
    <row r="19" spans="1:2" x14ac:dyDescent="0.25">
      <c r="A19" s="1">
        <v>6</v>
      </c>
      <c r="B19" s="1">
        <v>2</v>
      </c>
    </row>
    <row r="20" spans="1:2" x14ac:dyDescent="0.25">
      <c r="A20" s="1">
        <v>66</v>
      </c>
      <c r="B20" s="1">
        <v>2</v>
      </c>
    </row>
    <row r="21" spans="1:2" x14ac:dyDescent="0.25">
      <c r="A21" s="1">
        <v>78</v>
      </c>
      <c r="B21" s="1">
        <v>2</v>
      </c>
    </row>
    <row r="22" spans="1:2" x14ac:dyDescent="0.25">
      <c r="A22" s="1">
        <v>64</v>
      </c>
      <c r="B22" s="1">
        <v>2</v>
      </c>
    </row>
    <row r="23" spans="1:2" x14ac:dyDescent="0.25">
      <c r="A23" s="1">
        <v>70</v>
      </c>
      <c r="B23" s="1">
        <v>2</v>
      </c>
    </row>
    <row r="24" spans="1:2" x14ac:dyDescent="0.25">
      <c r="A24" s="1">
        <v>62</v>
      </c>
      <c r="B24" s="1">
        <v>2</v>
      </c>
    </row>
    <row r="25" spans="1:2" x14ac:dyDescent="0.25">
      <c r="A25" s="1">
        <v>37</v>
      </c>
      <c r="B25" s="1">
        <v>2</v>
      </c>
    </row>
    <row r="26" spans="1:2" x14ac:dyDescent="0.25">
      <c r="A26" s="1">
        <v>21</v>
      </c>
      <c r="B26" s="1">
        <v>2</v>
      </c>
    </row>
    <row r="27" spans="1:2" x14ac:dyDescent="0.25">
      <c r="A27" s="1">
        <v>58</v>
      </c>
      <c r="B27" s="1">
        <v>2</v>
      </c>
    </row>
    <row r="28" spans="1:2" x14ac:dyDescent="0.25">
      <c r="A28" s="1">
        <v>59</v>
      </c>
      <c r="B28" s="1">
        <v>2</v>
      </c>
    </row>
    <row r="29" spans="1:2" x14ac:dyDescent="0.25">
      <c r="A29" s="1">
        <v>12</v>
      </c>
      <c r="B29" s="1">
        <v>2</v>
      </c>
    </row>
    <row r="30" spans="1:2" x14ac:dyDescent="0.25">
      <c r="A30" s="1">
        <v>20</v>
      </c>
      <c r="B30" s="1">
        <v>2</v>
      </c>
    </row>
    <row r="31" spans="1:2" x14ac:dyDescent="0.25">
      <c r="A31" s="1">
        <v>10</v>
      </c>
      <c r="B31" s="1">
        <v>2</v>
      </c>
    </row>
    <row r="32" spans="1:2" x14ac:dyDescent="0.25">
      <c r="A32" s="1">
        <v>59</v>
      </c>
      <c r="B32" s="1">
        <v>2</v>
      </c>
    </row>
    <row r="33" spans="1:2" x14ac:dyDescent="0.25">
      <c r="A33" s="1">
        <v>40</v>
      </c>
      <c r="B33" s="1">
        <v>2</v>
      </c>
    </row>
    <row r="34" spans="1:2" x14ac:dyDescent="0.25">
      <c r="A34" s="1">
        <v>28</v>
      </c>
      <c r="B34" s="1">
        <v>2</v>
      </c>
    </row>
    <row r="35" spans="1:2" x14ac:dyDescent="0.25">
      <c r="A35" s="1">
        <v>32</v>
      </c>
      <c r="B35" s="1">
        <v>2</v>
      </c>
    </row>
    <row r="36" spans="1:2" x14ac:dyDescent="0.25">
      <c r="A36" s="1">
        <v>35</v>
      </c>
      <c r="B36" s="1">
        <v>2</v>
      </c>
    </row>
    <row r="37" spans="1:2" x14ac:dyDescent="0.25">
      <c r="A37" s="1">
        <v>25</v>
      </c>
      <c r="B37" s="1">
        <v>2</v>
      </c>
    </row>
    <row r="38" spans="1:2" x14ac:dyDescent="0.25">
      <c r="A38" s="1">
        <v>55</v>
      </c>
      <c r="B38" s="1">
        <v>2</v>
      </c>
    </row>
    <row r="39" spans="1:2" x14ac:dyDescent="0.25">
      <c r="A39" s="1">
        <v>24</v>
      </c>
      <c r="B39" s="1">
        <v>2</v>
      </c>
    </row>
    <row r="40" spans="1:2" x14ac:dyDescent="0.25">
      <c r="A40" s="1">
        <v>53</v>
      </c>
      <c r="B40" s="1">
        <v>2</v>
      </c>
    </row>
    <row r="41" spans="1:2" x14ac:dyDescent="0.25">
      <c r="A41" s="1">
        <v>44</v>
      </c>
      <c r="B41" s="1">
        <v>2</v>
      </c>
    </row>
    <row r="42" spans="1:2" x14ac:dyDescent="0.25">
      <c r="A42" s="1">
        <v>43</v>
      </c>
      <c r="B42" s="1">
        <v>2</v>
      </c>
    </row>
    <row r="43" spans="1:2" x14ac:dyDescent="0.25">
      <c r="A43" s="1">
        <v>58</v>
      </c>
      <c r="B43" s="1">
        <v>2</v>
      </c>
    </row>
    <row r="44" spans="1:2" x14ac:dyDescent="0.25">
      <c r="A44" s="1">
        <v>51</v>
      </c>
      <c r="B44" s="1">
        <v>2</v>
      </c>
    </row>
    <row r="45" spans="1:2" x14ac:dyDescent="0.25">
      <c r="A45" s="1">
        <v>96</v>
      </c>
      <c r="B45" s="1">
        <v>2</v>
      </c>
    </row>
    <row r="46" spans="1:2" x14ac:dyDescent="0.25">
      <c r="A46" s="1">
        <v>24</v>
      </c>
      <c r="B46" s="1">
        <v>2</v>
      </c>
    </row>
    <row r="47" spans="1:2" x14ac:dyDescent="0.25">
      <c r="A47" s="1">
        <v>75</v>
      </c>
      <c r="B47" s="1">
        <v>2</v>
      </c>
    </row>
    <row r="48" spans="1:2" x14ac:dyDescent="0.25">
      <c r="A48" s="1">
        <v>55</v>
      </c>
      <c r="B48" s="1">
        <v>2</v>
      </c>
    </row>
    <row r="49" spans="1:2" x14ac:dyDescent="0.25">
      <c r="A49" s="1">
        <v>52</v>
      </c>
      <c r="B49" s="1">
        <v>2</v>
      </c>
    </row>
    <row r="50" spans="1:2" x14ac:dyDescent="0.25">
      <c r="A50" s="1">
        <v>57</v>
      </c>
      <c r="B50" s="1">
        <v>2</v>
      </c>
    </row>
    <row r="51" spans="1:2" x14ac:dyDescent="0.25">
      <c r="A51" s="1">
        <v>39</v>
      </c>
      <c r="B51" s="1">
        <v>2</v>
      </c>
    </row>
    <row r="52" spans="1:2" x14ac:dyDescent="0.25">
      <c r="A52" s="1">
        <v>40</v>
      </c>
      <c r="B52" s="1">
        <v>2</v>
      </c>
    </row>
    <row r="53" spans="1:2" x14ac:dyDescent="0.25">
      <c r="A53" s="1">
        <v>66</v>
      </c>
      <c r="B53" s="1">
        <v>2</v>
      </c>
    </row>
    <row r="54" spans="1:2" x14ac:dyDescent="0.25">
      <c r="A54" s="1">
        <v>24</v>
      </c>
      <c r="B54" s="1">
        <v>2</v>
      </c>
    </row>
    <row r="55" spans="1:2" x14ac:dyDescent="0.25">
      <c r="A55" s="1">
        <v>74</v>
      </c>
      <c r="B55" s="1">
        <v>2</v>
      </c>
    </row>
    <row r="56" spans="1:2" x14ac:dyDescent="0.25">
      <c r="A56" s="1">
        <v>26</v>
      </c>
      <c r="B56" s="1">
        <v>2</v>
      </c>
    </row>
    <row r="57" spans="1:2" x14ac:dyDescent="0.25">
      <c r="A57" s="1">
        <v>32</v>
      </c>
      <c r="B57" s="1">
        <v>2</v>
      </c>
    </row>
    <row r="58" spans="1:2" x14ac:dyDescent="0.25">
      <c r="A58" s="1">
        <v>88</v>
      </c>
      <c r="B58" s="1">
        <v>2</v>
      </c>
    </row>
    <row r="59" spans="1:2" x14ac:dyDescent="0.25">
      <c r="A59" s="1">
        <v>53</v>
      </c>
      <c r="B59" s="1">
        <v>2</v>
      </c>
    </row>
    <row r="60" spans="1:2" x14ac:dyDescent="0.25">
      <c r="A60" s="1"/>
      <c r="B60" s="1"/>
    </row>
    <row r="61" spans="1:2" x14ac:dyDescent="0.25">
      <c r="A61" s="1"/>
      <c r="B61" s="1"/>
    </row>
    <row r="62" spans="1:2" x14ac:dyDescent="0.25">
      <c r="A62" s="1"/>
      <c r="B62" s="1"/>
    </row>
    <row r="63" spans="1:2" x14ac:dyDescent="0.25">
      <c r="A63" s="1"/>
      <c r="B63" s="1"/>
    </row>
    <row r="64" spans="1:2" x14ac:dyDescent="0.25">
      <c r="A64" s="1"/>
      <c r="B64" s="1"/>
    </row>
    <row r="65" spans="1:2" x14ac:dyDescent="0.25">
      <c r="A65" s="1"/>
      <c r="B65" s="1"/>
    </row>
    <row r="66" spans="1:2" x14ac:dyDescent="0.25">
      <c r="A66" s="1"/>
      <c r="B66" s="1"/>
    </row>
    <row r="67" spans="1:2" x14ac:dyDescent="0.25">
      <c r="A67" s="1"/>
      <c r="B67" s="1"/>
    </row>
    <row r="68" spans="1:2" x14ac:dyDescent="0.25">
      <c r="A68" s="1"/>
      <c r="B68" s="1"/>
    </row>
    <row r="69" spans="1:2" x14ac:dyDescent="0.25">
      <c r="A69" s="1"/>
      <c r="B69" s="1"/>
    </row>
    <row r="70" spans="1:2" x14ac:dyDescent="0.25">
      <c r="A70" s="1"/>
      <c r="B70" s="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6117C-AD01-41B8-9AEB-EFFDF6F9F4A1}">
  <sheetPr codeName="Foglio4">
    <tabColor theme="8" tint="0.59999389629810485"/>
  </sheetPr>
  <dimension ref="A1:AA251"/>
  <sheetViews>
    <sheetView showGridLines="0" workbookViewId="0">
      <selection activeCell="C2" sqref="C2"/>
    </sheetView>
  </sheetViews>
  <sheetFormatPr defaultRowHeight="15" x14ac:dyDescent="0.25"/>
  <cols>
    <col min="1" max="2" width="9.42578125" bestFit="1" customWidth="1"/>
    <col min="3" max="3" width="26.7109375" bestFit="1" customWidth="1"/>
    <col min="4" max="4" width="19.28515625" bestFit="1" customWidth="1"/>
  </cols>
  <sheetData>
    <row r="1" spans="1:27" ht="21" thickTop="1" thickBot="1" x14ac:dyDescent="0.45">
      <c r="A1" s="5" t="s">
        <v>0</v>
      </c>
      <c r="B1" s="5" t="s">
        <v>2</v>
      </c>
      <c r="C1" s="5" t="s">
        <v>5</v>
      </c>
      <c r="AA1">
        <v>1</v>
      </c>
    </row>
    <row r="2" spans="1:27" ht="15.75" thickTop="1" x14ac:dyDescent="0.25">
      <c r="A2" s="1">
        <f>Data!A2</f>
        <v>68</v>
      </c>
      <c r="B2" s="1">
        <f>Data!B2</f>
        <v>3</v>
      </c>
      <c r="C2" s="1" t="str">
        <f>IF(B2='Statistical Insight'!$A$5,A2," ")</f>
        <v xml:space="preserve"> </v>
      </c>
      <c r="AA2">
        <v>2</v>
      </c>
    </row>
    <row r="3" spans="1:27" x14ac:dyDescent="0.25">
      <c r="A3" s="1">
        <f>Data!A3</f>
        <v>28</v>
      </c>
      <c r="B3" s="1">
        <f>Data!B3</f>
        <v>3</v>
      </c>
      <c r="C3" s="1" t="str">
        <f>IF(B3='Statistical Insight'!$A$5,A3," ")</f>
        <v xml:space="preserve"> </v>
      </c>
      <c r="AA3">
        <v>3</v>
      </c>
    </row>
    <row r="4" spans="1:27" x14ac:dyDescent="0.25">
      <c r="A4" s="1">
        <f>Data!A4</f>
        <v>44</v>
      </c>
      <c r="B4" s="1">
        <f>Data!B4</f>
        <v>3</v>
      </c>
      <c r="C4" s="1" t="str">
        <f>IF(B4='Statistical Insight'!$A$5,A4," ")</f>
        <v xml:space="preserve"> </v>
      </c>
      <c r="AA4">
        <v>4</v>
      </c>
    </row>
    <row r="5" spans="1:27" x14ac:dyDescent="0.25">
      <c r="A5" s="1">
        <f>Data!A5</f>
        <v>63</v>
      </c>
      <c r="B5" s="1">
        <f>Data!B5</f>
        <v>1</v>
      </c>
      <c r="C5" s="1" t="str">
        <f>IF(B5='Statistical Insight'!$A$5,A5," ")</f>
        <v xml:space="preserve"> </v>
      </c>
    </row>
    <row r="6" spans="1:27" x14ac:dyDescent="0.25">
      <c r="A6" s="1">
        <f>Data!A6</f>
        <v>33</v>
      </c>
      <c r="B6" s="1">
        <f>Data!B6</f>
        <v>1</v>
      </c>
      <c r="C6" s="1" t="str">
        <f>IF(B6='Statistical Insight'!$A$5,A6," ")</f>
        <v xml:space="preserve"> </v>
      </c>
    </row>
    <row r="7" spans="1:27" x14ac:dyDescent="0.25">
      <c r="A7" s="1">
        <f>Data!A7</f>
        <v>34</v>
      </c>
      <c r="B7" s="1">
        <f>Data!B7</f>
        <v>1</v>
      </c>
      <c r="C7" s="1" t="str">
        <f>IF(B7='Statistical Insight'!$A$5,A7," ")</f>
        <v xml:space="preserve"> </v>
      </c>
    </row>
    <row r="8" spans="1:27" x14ac:dyDescent="0.25">
      <c r="A8" s="1">
        <f>Data!A8</f>
        <v>51</v>
      </c>
      <c r="B8" s="1">
        <f>Data!B8</f>
        <v>2</v>
      </c>
      <c r="C8" s="1">
        <f>IF(B8='Statistical Insight'!$A$5,A8," ")</f>
        <v>51</v>
      </c>
    </row>
    <row r="9" spans="1:27" x14ac:dyDescent="0.25">
      <c r="A9" s="1">
        <f>Data!A9</f>
        <v>67</v>
      </c>
      <c r="B9" s="1">
        <f>Data!B9</f>
        <v>3</v>
      </c>
      <c r="C9" s="1" t="str">
        <f>IF(B9='Statistical Insight'!$A$5,A9," ")</f>
        <v xml:space="preserve"> </v>
      </c>
    </row>
    <row r="10" spans="1:27" x14ac:dyDescent="0.25">
      <c r="A10" s="1">
        <f>Data!A10</f>
        <v>78</v>
      </c>
      <c r="B10" s="1">
        <f>Data!B10</f>
        <v>1</v>
      </c>
      <c r="C10" s="1" t="str">
        <f>IF(B10='Statistical Insight'!$A$5,A10," ")</f>
        <v xml:space="preserve"> </v>
      </c>
    </row>
    <row r="11" spans="1:27" x14ac:dyDescent="0.25">
      <c r="A11" s="1">
        <f>Data!A11</f>
        <v>55</v>
      </c>
      <c r="B11" s="1">
        <f>Data!B11</f>
        <v>2</v>
      </c>
      <c r="C11" s="1">
        <f>IF(B11='Statistical Insight'!$A$5,A11," ")</f>
        <v>55</v>
      </c>
    </row>
    <row r="12" spans="1:27" x14ac:dyDescent="0.25">
      <c r="A12" s="1">
        <f>Data!A12</f>
        <v>52</v>
      </c>
      <c r="B12" s="1">
        <f>Data!B12</f>
        <v>2</v>
      </c>
      <c r="C12" s="1">
        <f>IF(B12='Statistical Insight'!$A$5,A12," ")</f>
        <v>52</v>
      </c>
    </row>
    <row r="13" spans="1:27" x14ac:dyDescent="0.25">
      <c r="A13" s="1">
        <f>Data!A13</f>
        <v>23</v>
      </c>
      <c r="B13" s="1">
        <f>Data!B13</f>
        <v>1</v>
      </c>
      <c r="C13" s="1" t="str">
        <f>IF(B13='Statistical Insight'!$A$5,A13," ")</f>
        <v xml:space="preserve"> </v>
      </c>
    </row>
    <row r="14" spans="1:27" x14ac:dyDescent="0.25">
      <c r="A14" s="1">
        <f>Data!A14</f>
        <v>24</v>
      </c>
      <c r="B14" s="1">
        <f>Data!B14</f>
        <v>2</v>
      </c>
      <c r="C14" s="1">
        <f>IF(B14='Statistical Insight'!$A$5,A14," ")</f>
        <v>24</v>
      </c>
    </row>
    <row r="15" spans="1:27" x14ac:dyDescent="0.25">
      <c r="A15" s="1">
        <f>Data!A15</f>
        <v>43</v>
      </c>
      <c r="B15" s="1">
        <f>Data!B15</f>
        <v>4</v>
      </c>
      <c r="C15" s="1" t="str">
        <f>IF(B15='Statistical Insight'!$A$5,A15," ")</f>
        <v xml:space="preserve"> </v>
      </c>
    </row>
    <row r="16" spans="1:27" x14ac:dyDescent="0.25">
      <c r="A16" s="1">
        <f>Data!A16</f>
        <v>70</v>
      </c>
      <c r="B16" s="1">
        <f>Data!B16</f>
        <v>1</v>
      </c>
      <c r="C16" s="1" t="str">
        <f>IF(B16='Statistical Insight'!$A$5,A16," ")</f>
        <v xml:space="preserve"> </v>
      </c>
    </row>
    <row r="17" spans="1:3" x14ac:dyDescent="0.25">
      <c r="A17" s="1">
        <f>Data!A17</f>
        <v>66</v>
      </c>
      <c r="B17" s="1">
        <f>Data!B17</f>
        <v>2</v>
      </c>
      <c r="C17" s="1">
        <f>IF(B17='Statistical Insight'!$A$5,A17," ")</f>
        <v>66</v>
      </c>
    </row>
    <row r="18" spans="1:3" x14ac:dyDescent="0.25">
      <c r="A18" s="1">
        <f>Data!A18</f>
        <v>56</v>
      </c>
      <c r="B18" s="1">
        <f>Data!B18</f>
        <v>1</v>
      </c>
      <c r="C18" s="1" t="str">
        <f>IF(B18='Statistical Insight'!$A$5,A18," ")</f>
        <v xml:space="preserve"> </v>
      </c>
    </row>
    <row r="19" spans="1:3" x14ac:dyDescent="0.25">
      <c r="A19" s="1">
        <f>Data!A19</f>
        <v>23</v>
      </c>
      <c r="B19" s="1">
        <f>Data!B19</f>
        <v>1</v>
      </c>
      <c r="C19" s="1" t="str">
        <f>IF(B19='Statistical Insight'!$A$5,A19," ")</f>
        <v xml:space="preserve"> </v>
      </c>
    </row>
    <row r="20" spans="1:3" x14ac:dyDescent="0.25">
      <c r="A20" s="1">
        <f>Data!A20</f>
        <v>58</v>
      </c>
      <c r="B20" s="1">
        <f>Data!B20</f>
        <v>4</v>
      </c>
      <c r="C20" s="1" t="str">
        <f>IF(B20='Statistical Insight'!$A$5,A20," ")</f>
        <v xml:space="preserve"> </v>
      </c>
    </row>
    <row r="21" spans="1:3" x14ac:dyDescent="0.25">
      <c r="A21" s="1">
        <f>Data!A21</f>
        <v>14</v>
      </c>
      <c r="B21" s="1">
        <f>Data!B21</f>
        <v>2</v>
      </c>
      <c r="C21" s="1">
        <f>IF(B21='Statistical Insight'!$A$5,A21," ")</f>
        <v>14</v>
      </c>
    </row>
    <row r="22" spans="1:3" x14ac:dyDescent="0.25">
      <c r="A22" s="1">
        <f>Data!A22</f>
        <v>62</v>
      </c>
      <c r="B22" s="1">
        <f>Data!B22</f>
        <v>2</v>
      </c>
      <c r="C22" s="1">
        <f>IF(B22='Statistical Insight'!$A$5,A22," ")</f>
        <v>62</v>
      </c>
    </row>
    <row r="23" spans="1:3" x14ac:dyDescent="0.25">
      <c r="A23" s="1">
        <f>Data!A23</f>
        <v>70</v>
      </c>
      <c r="B23" s="1">
        <f>Data!B23</f>
        <v>4</v>
      </c>
      <c r="C23" s="1" t="str">
        <f>IF(B23='Statistical Insight'!$A$5,A23," ")</f>
        <v xml:space="preserve"> </v>
      </c>
    </row>
    <row r="24" spans="1:3" x14ac:dyDescent="0.25">
      <c r="A24" s="1">
        <f>Data!A24</f>
        <v>35</v>
      </c>
      <c r="B24" s="1">
        <f>Data!B24</f>
        <v>2</v>
      </c>
      <c r="C24" s="1">
        <f>IF(B24='Statistical Insight'!$A$5,A24," ")</f>
        <v>35</v>
      </c>
    </row>
    <row r="25" spans="1:3" x14ac:dyDescent="0.25">
      <c r="A25" s="1">
        <f>Data!A25</f>
        <v>33</v>
      </c>
      <c r="B25" s="1">
        <f>Data!B25</f>
        <v>3</v>
      </c>
      <c r="C25" s="1" t="str">
        <f>IF(B25='Statistical Insight'!$A$5,A25," ")</f>
        <v xml:space="preserve"> </v>
      </c>
    </row>
    <row r="26" spans="1:3" x14ac:dyDescent="0.25">
      <c r="A26" s="1">
        <f>Data!A26</f>
        <v>40</v>
      </c>
      <c r="B26" s="1">
        <f>Data!B26</f>
        <v>3</v>
      </c>
      <c r="C26" s="1" t="str">
        <f>IF(B26='Statistical Insight'!$A$5,A26," ")</f>
        <v xml:space="preserve"> </v>
      </c>
    </row>
    <row r="27" spans="1:3" x14ac:dyDescent="0.25">
      <c r="A27" s="1">
        <f>Data!A27</f>
        <v>71</v>
      </c>
      <c r="B27" s="1">
        <f>Data!B27</f>
        <v>3</v>
      </c>
      <c r="C27" s="1" t="str">
        <f>IF(B27='Statistical Insight'!$A$5,A27," ")</f>
        <v xml:space="preserve"> </v>
      </c>
    </row>
    <row r="28" spans="1:3" x14ac:dyDescent="0.25">
      <c r="A28" s="1">
        <f>Data!A28</f>
        <v>73</v>
      </c>
      <c r="B28" s="1">
        <f>Data!B28</f>
        <v>1</v>
      </c>
      <c r="C28" s="1" t="str">
        <f>IF(B28='Statistical Insight'!$A$5,A28," ")</f>
        <v xml:space="preserve"> </v>
      </c>
    </row>
    <row r="29" spans="1:3" x14ac:dyDescent="0.25">
      <c r="A29" s="1">
        <f>Data!A29</f>
        <v>60</v>
      </c>
      <c r="B29" s="1">
        <f>Data!B29</f>
        <v>3</v>
      </c>
      <c r="C29" s="1" t="str">
        <f>IF(B29='Statistical Insight'!$A$5,A29," ")</f>
        <v xml:space="preserve"> </v>
      </c>
    </row>
    <row r="30" spans="1:3" x14ac:dyDescent="0.25">
      <c r="A30" s="1">
        <f>Data!A30</f>
        <v>49</v>
      </c>
      <c r="B30" s="1">
        <f>Data!B30</f>
        <v>1</v>
      </c>
      <c r="C30" s="1" t="str">
        <f>IF(B30='Statistical Insight'!$A$5,A30," ")</f>
        <v xml:space="preserve"> </v>
      </c>
    </row>
    <row r="31" spans="1:3" x14ac:dyDescent="0.25">
      <c r="A31" s="1">
        <f>Data!A31</f>
        <v>64</v>
      </c>
      <c r="B31" s="1">
        <f>Data!B31</f>
        <v>3</v>
      </c>
      <c r="C31" s="1" t="str">
        <f>IF(B31='Statistical Insight'!$A$5,A31," ")</f>
        <v xml:space="preserve"> </v>
      </c>
    </row>
    <row r="32" spans="1:3" x14ac:dyDescent="0.25">
      <c r="A32" s="1">
        <f>Data!A32</f>
        <v>50</v>
      </c>
      <c r="B32" s="1">
        <f>Data!B32</f>
        <v>1</v>
      </c>
      <c r="C32" s="1" t="str">
        <f>IF(B32='Statistical Insight'!$A$5,A32," ")</f>
        <v xml:space="preserve"> </v>
      </c>
    </row>
    <row r="33" spans="1:3" x14ac:dyDescent="0.25">
      <c r="A33" s="1">
        <f>Data!A33</f>
        <v>24</v>
      </c>
      <c r="B33" s="1">
        <f>Data!B33</f>
        <v>2</v>
      </c>
      <c r="C33" s="1">
        <f>IF(B33='Statistical Insight'!$A$5,A33," ")</f>
        <v>24</v>
      </c>
    </row>
    <row r="34" spans="1:3" x14ac:dyDescent="0.25">
      <c r="A34" s="1">
        <f>Data!A34</f>
        <v>36</v>
      </c>
      <c r="B34" s="1">
        <f>Data!B34</f>
        <v>1</v>
      </c>
      <c r="C34" s="1" t="str">
        <f>IF(B34='Statistical Insight'!$A$5,A34," ")</f>
        <v xml:space="preserve"> </v>
      </c>
    </row>
    <row r="35" spans="1:3" x14ac:dyDescent="0.25">
      <c r="A35" s="1">
        <f>Data!A35</f>
        <v>33</v>
      </c>
      <c r="B35" s="1">
        <f>Data!B35</f>
        <v>2</v>
      </c>
      <c r="C35" s="1">
        <f>IF(B35='Statistical Insight'!$A$5,A35," ")</f>
        <v>33</v>
      </c>
    </row>
    <row r="36" spans="1:3" x14ac:dyDescent="0.25">
      <c r="A36" s="1">
        <f>Data!A36</f>
        <v>40</v>
      </c>
      <c r="B36" s="1">
        <f>Data!B36</f>
        <v>2</v>
      </c>
      <c r="C36" s="1">
        <f>IF(B36='Statistical Insight'!$A$5,A36," ")</f>
        <v>40</v>
      </c>
    </row>
    <row r="37" spans="1:3" x14ac:dyDescent="0.25">
      <c r="A37" s="1">
        <f>Data!A37</f>
        <v>42</v>
      </c>
      <c r="B37" s="1">
        <f>Data!B37</f>
        <v>3</v>
      </c>
      <c r="C37" s="1" t="str">
        <f>IF(B37='Statistical Insight'!$A$5,A37," ")</f>
        <v xml:space="preserve"> </v>
      </c>
    </row>
    <row r="38" spans="1:3" x14ac:dyDescent="0.25">
      <c r="A38" s="1">
        <f>Data!A38</f>
        <v>53</v>
      </c>
      <c r="B38" s="1">
        <f>Data!B38</f>
        <v>3</v>
      </c>
      <c r="C38" s="1" t="str">
        <f>IF(B38='Statistical Insight'!$A$5,A38," ")</f>
        <v xml:space="preserve"> </v>
      </c>
    </row>
    <row r="39" spans="1:3" x14ac:dyDescent="0.25">
      <c r="A39" s="1">
        <f>Data!A39</f>
        <v>63</v>
      </c>
      <c r="B39" s="1">
        <f>Data!B39</f>
        <v>4</v>
      </c>
      <c r="C39" s="1" t="str">
        <f>IF(B39='Statistical Insight'!$A$5,A39," ")</f>
        <v xml:space="preserve"> </v>
      </c>
    </row>
    <row r="40" spans="1:3" x14ac:dyDescent="0.25">
      <c r="A40" s="1">
        <f>Data!A40</f>
        <v>37</v>
      </c>
      <c r="B40" s="1">
        <f>Data!B40</f>
        <v>4</v>
      </c>
      <c r="C40" s="1" t="str">
        <f>IF(B40='Statistical Insight'!$A$5,A40," ")</f>
        <v xml:space="preserve"> </v>
      </c>
    </row>
    <row r="41" spans="1:3" x14ac:dyDescent="0.25">
      <c r="A41" s="1">
        <f>Data!A41</f>
        <v>79</v>
      </c>
      <c r="B41" s="1">
        <f>Data!B41</f>
        <v>4</v>
      </c>
      <c r="C41" s="1" t="str">
        <f>IF(B41='Statistical Insight'!$A$5,A41," ")</f>
        <v xml:space="preserve"> </v>
      </c>
    </row>
    <row r="42" spans="1:3" x14ac:dyDescent="0.25">
      <c r="A42" s="1">
        <f>Data!A42</f>
        <v>46</v>
      </c>
      <c r="B42" s="1">
        <f>Data!B42</f>
        <v>2</v>
      </c>
      <c r="C42" s="1">
        <f>IF(B42='Statistical Insight'!$A$5,A42," ")</f>
        <v>46</v>
      </c>
    </row>
    <row r="43" spans="1:3" x14ac:dyDescent="0.25">
      <c r="A43" s="1">
        <f>Data!A43</f>
        <v>46</v>
      </c>
      <c r="B43" s="1">
        <f>Data!B43</f>
        <v>3</v>
      </c>
      <c r="C43" s="1" t="str">
        <f>IF(B43='Statistical Insight'!$A$5,A43," ")</f>
        <v xml:space="preserve"> </v>
      </c>
    </row>
    <row r="44" spans="1:3" x14ac:dyDescent="0.25">
      <c r="A44" s="1">
        <f>Data!A44</f>
        <v>85</v>
      </c>
      <c r="B44" s="1">
        <f>Data!B44</f>
        <v>1</v>
      </c>
      <c r="C44" s="1" t="str">
        <f>IF(B44='Statistical Insight'!$A$5,A44," ")</f>
        <v xml:space="preserve"> </v>
      </c>
    </row>
    <row r="45" spans="1:3" x14ac:dyDescent="0.25">
      <c r="A45" s="1">
        <f>Data!A45</f>
        <v>66</v>
      </c>
      <c r="B45" s="1">
        <f>Data!B45</f>
        <v>1</v>
      </c>
      <c r="C45" s="1" t="str">
        <f>IF(B45='Statistical Insight'!$A$5,A45," ")</f>
        <v xml:space="preserve"> </v>
      </c>
    </row>
    <row r="46" spans="1:3" x14ac:dyDescent="0.25">
      <c r="A46" s="1">
        <f>Data!A46</f>
        <v>60</v>
      </c>
      <c r="B46" s="1">
        <f>Data!B46</f>
        <v>3</v>
      </c>
      <c r="C46" s="1" t="str">
        <f>IF(B46='Statistical Insight'!$A$5,A46," ")</f>
        <v xml:space="preserve"> </v>
      </c>
    </row>
    <row r="47" spans="1:3" x14ac:dyDescent="0.25">
      <c r="A47" s="1">
        <f>Data!A47</f>
        <v>46</v>
      </c>
      <c r="B47" s="1">
        <f>Data!B47</f>
        <v>4</v>
      </c>
      <c r="C47" s="1" t="str">
        <f>IF(B47='Statistical Insight'!$A$5,A47," ")</f>
        <v xml:space="preserve"> </v>
      </c>
    </row>
    <row r="48" spans="1:3" x14ac:dyDescent="0.25">
      <c r="A48" s="1">
        <f>Data!A48</f>
        <v>50</v>
      </c>
      <c r="B48" s="1">
        <f>Data!B48</f>
        <v>2</v>
      </c>
      <c r="C48" s="1">
        <f>IF(B48='Statistical Insight'!$A$5,A48," ")</f>
        <v>50</v>
      </c>
    </row>
    <row r="49" spans="1:3" x14ac:dyDescent="0.25">
      <c r="A49" s="1">
        <f>Data!A49</f>
        <v>29</v>
      </c>
      <c r="B49" s="1">
        <f>Data!B49</f>
        <v>2</v>
      </c>
      <c r="C49" s="1">
        <f>IF(B49='Statistical Insight'!$A$5,A49," ")</f>
        <v>29</v>
      </c>
    </row>
    <row r="50" spans="1:3" x14ac:dyDescent="0.25">
      <c r="A50" s="1">
        <f>Data!A50</f>
        <v>63</v>
      </c>
      <c r="B50" s="1">
        <f>Data!B50</f>
        <v>1</v>
      </c>
      <c r="C50" s="1" t="str">
        <f>IF(B50='Statistical Insight'!$A$5,A50," ")</f>
        <v xml:space="preserve"> </v>
      </c>
    </row>
    <row r="51" spans="1:3" x14ac:dyDescent="0.25">
      <c r="A51" s="1">
        <f>Data!A51</f>
        <v>43</v>
      </c>
      <c r="B51" s="1">
        <f>Data!B51</f>
        <v>3</v>
      </c>
      <c r="C51" s="1" t="str">
        <f>IF(B51='Statistical Insight'!$A$5,A51," ")</f>
        <v xml:space="preserve"> </v>
      </c>
    </row>
    <row r="52" spans="1:3" x14ac:dyDescent="0.25">
      <c r="A52" s="1">
        <f>Data!A52</f>
        <v>42</v>
      </c>
      <c r="B52" s="1">
        <f>Data!B52</f>
        <v>4</v>
      </c>
      <c r="C52" s="1" t="str">
        <f>IF(B52='Statistical Insight'!$A$5,A52," ")</f>
        <v xml:space="preserve"> </v>
      </c>
    </row>
    <row r="53" spans="1:3" x14ac:dyDescent="0.25">
      <c r="A53" s="1">
        <f>Data!A53</f>
        <v>35</v>
      </c>
      <c r="B53" s="1">
        <f>Data!B53</f>
        <v>1</v>
      </c>
      <c r="C53" s="1" t="str">
        <f>IF(B53='Statistical Insight'!$A$5,A53," ")</f>
        <v xml:space="preserve"> </v>
      </c>
    </row>
    <row r="54" spans="1:3" x14ac:dyDescent="0.25">
      <c r="A54" s="1">
        <f>Data!A54</f>
        <v>62</v>
      </c>
      <c r="B54" s="1">
        <f>Data!B54</f>
        <v>3</v>
      </c>
      <c r="C54" s="1" t="str">
        <f>IF(B54='Statistical Insight'!$A$5,A54," ")</f>
        <v xml:space="preserve"> </v>
      </c>
    </row>
    <row r="55" spans="1:3" x14ac:dyDescent="0.25">
      <c r="A55" s="1">
        <f>Data!A55</f>
        <v>61</v>
      </c>
      <c r="B55" s="1">
        <f>Data!B55</f>
        <v>4</v>
      </c>
      <c r="C55" s="1" t="str">
        <f>IF(B55='Statistical Insight'!$A$5,A55," ")</f>
        <v xml:space="preserve"> </v>
      </c>
    </row>
    <row r="56" spans="1:3" x14ac:dyDescent="0.25">
      <c r="A56" s="1">
        <f>Data!A56</f>
        <v>0</v>
      </c>
      <c r="B56" s="1">
        <f>Data!B56</f>
        <v>1</v>
      </c>
      <c r="C56" s="1" t="str">
        <f>IF(B56='Statistical Insight'!$A$5,A56," ")</f>
        <v xml:space="preserve"> </v>
      </c>
    </row>
    <row r="57" spans="1:3" x14ac:dyDescent="0.25">
      <c r="A57" s="1">
        <f>Data!A57</f>
        <v>51</v>
      </c>
      <c r="B57" s="1">
        <f>Data!B57</f>
        <v>1</v>
      </c>
      <c r="C57" s="1" t="str">
        <f>IF(B57='Statistical Insight'!$A$5,A57," ")</f>
        <v xml:space="preserve"> </v>
      </c>
    </row>
    <row r="58" spans="1:3" x14ac:dyDescent="0.25">
      <c r="A58" s="1">
        <f>Data!A58</f>
        <v>48</v>
      </c>
      <c r="B58" s="1">
        <f>Data!B58</f>
        <v>1</v>
      </c>
      <c r="C58" s="1" t="str">
        <f>IF(B58='Statistical Insight'!$A$5,A58," ")</f>
        <v xml:space="preserve"> </v>
      </c>
    </row>
    <row r="59" spans="1:3" x14ac:dyDescent="0.25">
      <c r="A59" s="1">
        <f>Data!A59</f>
        <v>49</v>
      </c>
      <c r="B59" s="1">
        <f>Data!B59</f>
        <v>2</v>
      </c>
      <c r="C59" s="1">
        <f>IF(B59='Statistical Insight'!$A$5,A59," ")</f>
        <v>49</v>
      </c>
    </row>
    <row r="60" spans="1:3" x14ac:dyDescent="0.25">
      <c r="A60" s="1">
        <f>Data!A60</f>
        <v>49</v>
      </c>
      <c r="B60" s="1">
        <f>Data!B60</f>
        <v>3</v>
      </c>
      <c r="C60" s="1" t="str">
        <f>IF(B60='Statistical Insight'!$A$5,A60," ")</f>
        <v xml:space="preserve"> </v>
      </c>
    </row>
    <row r="61" spans="1:3" x14ac:dyDescent="0.25">
      <c r="A61" s="1">
        <f>Data!A61</f>
        <v>54</v>
      </c>
      <c r="B61" s="1">
        <f>Data!B61</f>
        <v>1</v>
      </c>
      <c r="C61" s="1" t="str">
        <f>IF(B61='Statistical Insight'!$A$5,A61," ")</f>
        <v xml:space="preserve"> </v>
      </c>
    </row>
    <row r="62" spans="1:3" x14ac:dyDescent="0.25">
      <c r="A62" s="1">
        <f>Data!A62</f>
        <v>9</v>
      </c>
      <c r="B62" s="1">
        <f>Data!B62</f>
        <v>2</v>
      </c>
      <c r="C62" s="1">
        <f>IF(B62='Statistical Insight'!$A$5,A62," ")</f>
        <v>9</v>
      </c>
    </row>
    <row r="63" spans="1:3" x14ac:dyDescent="0.25">
      <c r="A63" s="1">
        <f>Data!A63</f>
        <v>50</v>
      </c>
      <c r="B63" s="1">
        <f>Data!B63</f>
        <v>4</v>
      </c>
      <c r="C63" s="1" t="str">
        <f>IF(B63='Statistical Insight'!$A$5,A63," ")</f>
        <v xml:space="preserve"> </v>
      </c>
    </row>
    <row r="64" spans="1:3" x14ac:dyDescent="0.25">
      <c r="A64" s="1">
        <f>Data!A64</f>
        <v>50</v>
      </c>
      <c r="B64" s="1">
        <f>Data!B64</f>
        <v>3</v>
      </c>
      <c r="C64" s="1" t="str">
        <f>IF(B64='Statistical Insight'!$A$5,A64," ")</f>
        <v xml:space="preserve"> </v>
      </c>
    </row>
    <row r="65" spans="1:3" x14ac:dyDescent="0.25">
      <c r="A65" s="1">
        <f>Data!A65</f>
        <v>29</v>
      </c>
      <c r="B65" s="1">
        <f>Data!B65</f>
        <v>1</v>
      </c>
      <c r="C65" s="1" t="str">
        <f>IF(B65='Statistical Insight'!$A$5,A65," ")</f>
        <v xml:space="preserve"> </v>
      </c>
    </row>
    <row r="66" spans="1:3" x14ac:dyDescent="0.25">
      <c r="A66" s="1">
        <f>Data!A66</f>
        <v>21</v>
      </c>
      <c r="B66" s="1">
        <f>Data!B66</f>
        <v>1</v>
      </c>
      <c r="C66" s="1" t="str">
        <f>IF(B66='Statistical Insight'!$A$5,A66," ")</f>
        <v xml:space="preserve"> </v>
      </c>
    </row>
    <row r="67" spans="1:3" x14ac:dyDescent="0.25">
      <c r="A67" s="1">
        <f>Data!A67</f>
        <v>62</v>
      </c>
      <c r="B67" s="1">
        <f>Data!B67</f>
        <v>2</v>
      </c>
      <c r="C67" s="1">
        <f>IF(B67='Statistical Insight'!$A$5,A67," ")</f>
        <v>62</v>
      </c>
    </row>
    <row r="68" spans="1:3" x14ac:dyDescent="0.25">
      <c r="A68" s="1">
        <f>Data!A68</f>
        <v>36</v>
      </c>
      <c r="B68" s="1">
        <f>Data!B68</f>
        <v>3</v>
      </c>
      <c r="C68" s="1" t="str">
        <f>IF(B68='Statistical Insight'!$A$5,A68," ")</f>
        <v xml:space="preserve"> </v>
      </c>
    </row>
    <row r="69" spans="1:3" x14ac:dyDescent="0.25">
      <c r="A69" s="1">
        <f>Data!A69</f>
        <v>31</v>
      </c>
      <c r="B69" s="1">
        <f>Data!B69</f>
        <v>3</v>
      </c>
      <c r="C69" s="1" t="str">
        <f>IF(B69='Statistical Insight'!$A$5,A69," ")</f>
        <v xml:space="preserve"> </v>
      </c>
    </row>
    <row r="70" spans="1:3" x14ac:dyDescent="0.25">
      <c r="A70" s="1">
        <f>Data!A70</f>
        <v>70</v>
      </c>
      <c r="B70" s="1">
        <f>Data!B70</f>
        <v>3</v>
      </c>
      <c r="C70" s="1" t="str">
        <f>IF(B70='Statistical Insight'!$A$5,A70," ")</f>
        <v xml:space="preserve"> </v>
      </c>
    </row>
    <row r="71" spans="1:3" x14ac:dyDescent="0.25">
      <c r="A71" s="1">
        <f>Data!A71</f>
        <v>73</v>
      </c>
      <c r="B71" s="1">
        <f>Data!B71</f>
        <v>3</v>
      </c>
      <c r="C71" s="1" t="str">
        <f>IF(B71='Statistical Insight'!$A$5,A71," ")</f>
        <v xml:space="preserve"> </v>
      </c>
    </row>
    <row r="72" spans="1:3" x14ac:dyDescent="0.25">
      <c r="A72" s="1">
        <f>Data!A72</f>
        <v>64</v>
      </c>
      <c r="B72" s="1">
        <f>Data!B72</f>
        <v>4</v>
      </c>
      <c r="C72" s="1" t="str">
        <f>IF(B72='Statistical Insight'!$A$5,A72," ")</f>
        <v xml:space="preserve"> </v>
      </c>
    </row>
    <row r="73" spans="1:3" x14ac:dyDescent="0.25">
      <c r="A73" s="1">
        <f>Data!A73</f>
        <v>21</v>
      </c>
      <c r="B73" s="1">
        <f>Data!B73</f>
        <v>4</v>
      </c>
      <c r="C73" s="1" t="str">
        <f>IF(B73='Statistical Insight'!$A$5,A73," ")</f>
        <v xml:space="preserve"> </v>
      </c>
    </row>
    <row r="74" spans="1:3" x14ac:dyDescent="0.25">
      <c r="A74" s="1">
        <f>Data!A74</f>
        <v>63</v>
      </c>
      <c r="B74" s="1">
        <f>Data!B74</f>
        <v>1</v>
      </c>
      <c r="C74" s="1" t="str">
        <f>IF(B74='Statistical Insight'!$A$5,A74," ")</f>
        <v xml:space="preserve"> </v>
      </c>
    </row>
    <row r="75" spans="1:3" x14ac:dyDescent="0.25">
      <c r="A75" s="1">
        <f>Data!A75</f>
        <v>42</v>
      </c>
      <c r="B75" s="1">
        <f>Data!B75</f>
        <v>1</v>
      </c>
      <c r="C75" s="1" t="str">
        <f>IF(B75='Statistical Insight'!$A$5,A75," ")</f>
        <v xml:space="preserve"> </v>
      </c>
    </row>
    <row r="76" spans="1:3" x14ac:dyDescent="0.25">
      <c r="A76" s="1">
        <f>Data!A76</f>
        <v>6</v>
      </c>
      <c r="B76" s="1">
        <f>Data!B76</f>
        <v>2</v>
      </c>
      <c r="C76" s="1">
        <f>IF(B76='Statistical Insight'!$A$5,A76," ")</f>
        <v>6</v>
      </c>
    </row>
    <row r="77" spans="1:3" x14ac:dyDescent="0.25">
      <c r="A77" s="1">
        <f>Data!A77</f>
        <v>56</v>
      </c>
      <c r="B77" s="1">
        <f>Data!B77</f>
        <v>4</v>
      </c>
      <c r="C77" s="1" t="str">
        <f>IF(B77='Statistical Insight'!$A$5,A77," ")</f>
        <v xml:space="preserve"> </v>
      </c>
    </row>
    <row r="78" spans="1:3" x14ac:dyDescent="0.25">
      <c r="A78" s="1">
        <f>Data!A78</f>
        <v>53</v>
      </c>
      <c r="B78" s="1">
        <f>Data!B78</f>
        <v>1</v>
      </c>
      <c r="C78" s="1" t="str">
        <f>IF(B78='Statistical Insight'!$A$5,A78," ")</f>
        <v xml:space="preserve"> </v>
      </c>
    </row>
    <row r="79" spans="1:3" x14ac:dyDescent="0.25">
      <c r="A79" s="1">
        <f>Data!A79</f>
        <v>46</v>
      </c>
      <c r="B79" s="1">
        <f>Data!B79</f>
        <v>3</v>
      </c>
      <c r="C79" s="1" t="str">
        <f>IF(B79='Statistical Insight'!$A$5,A79," ")</f>
        <v xml:space="preserve"> </v>
      </c>
    </row>
    <row r="80" spans="1:3" x14ac:dyDescent="0.25">
      <c r="A80" s="1">
        <f>Data!A80</f>
        <v>47</v>
      </c>
      <c r="B80" s="1">
        <f>Data!B80</f>
        <v>4</v>
      </c>
      <c r="C80" s="1" t="str">
        <f>IF(B80='Statistical Insight'!$A$5,A80," ")</f>
        <v xml:space="preserve"> </v>
      </c>
    </row>
    <row r="81" spans="1:3" x14ac:dyDescent="0.25">
      <c r="A81" s="1">
        <f>Data!A81</f>
        <v>26</v>
      </c>
      <c r="B81" s="1">
        <f>Data!B81</f>
        <v>3</v>
      </c>
      <c r="C81" s="1" t="str">
        <f>IF(B81='Statistical Insight'!$A$5,A81," ")</f>
        <v xml:space="preserve"> </v>
      </c>
    </row>
    <row r="82" spans="1:3" x14ac:dyDescent="0.25">
      <c r="A82" s="1">
        <f>Data!A82</f>
        <v>13</v>
      </c>
      <c r="B82" s="1">
        <f>Data!B82</f>
        <v>3</v>
      </c>
      <c r="C82" s="1" t="str">
        <f>IF(B82='Statistical Insight'!$A$5,A82," ")</f>
        <v xml:space="preserve"> </v>
      </c>
    </row>
    <row r="83" spans="1:3" x14ac:dyDescent="0.25">
      <c r="A83" s="1">
        <f>Data!A83</f>
        <v>73</v>
      </c>
      <c r="B83" s="1">
        <f>Data!B83</f>
        <v>1</v>
      </c>
      <c r="C83" s="1" t="str">
        <f>IF(B83='Statistical Insight'!$A$5,A83," ")</f>
        <v xml:space="preserve"> </v>
      </c>
    </row>
    <row r="84" spans="1:3" x14ac:dyDescent="0.25">
      <c r="A84" s="1">
        <f>Data!A84</f>
        <v>51</v>
      </c>
      <c r="B84" s="1">
        <f>Data!B84</f>
        <v>4</v>
      </c>
      <c r="C84" s="1" t="str">
        <f>IF(B84='Statistical Insight'!$A$5,A84," ")</f>
        <v xml:space="preserve"> </v>
      </c>
    </row>
    <row r="85" spans="1:3" x14ac:dyDescent="0.25">
      <c r="A85" s="1">
        <f>Data!A85</f>
        <v>20</v>
      </c>
      <c r="B85" s="1">
        <f>Data!B85</f>
        <v>1</v>
      </c>
      <c r="C85" s="1" t="str">
        <f>IF(B85='Statistical Insight'!$A$5,A85," ")</f>
        <v xml:space="preserve"> </v>
      </c>
    </row>
    <row r="86" spans="1:3" x14ac:dyDescent="0.25">
      <c r="A86" s="1">
        <f>Data!A86</f>
        <v>89</v>
      </c>
      <c r="B86" s="1">
        <f>Data!B86</f>
        <v>4</v>
      </c>
      <c r="C86" s="1" t="str">
        <f>IF(B86='Statistical Insight'!$A$5,A86," ")</f>
        <v xml:space="preserve"> </v>
      </c>
    </row>
    <row r="87" spans="1:3" x14ac:dyDescent="0.25">
      <c r="A87" s="1">
        <f>Data!A87</f>
        <v>27</v>
      </c>
      <c r="B87" s="1">
        <f>Data!B87</f>
        <v>1</v>
      </c>
      <c r="C87" s="1" t="str">
        <f>IF(B87='Statistical Insight'!$A$5,A87," ")</f>
        <v xml:space="preserve"> </v>
      </c>
    </row>
    <row r="88" spans="1:3" x14ac:dyDescent="0.25">
      <c r="A88" s="1">
        <f>Data!A88</f>
        <v>66</v>
      </c>
      <c r="B88" s="1">
        <f>Data!B88</f>
        <v>2</v>
      </c>
      <c r="C88" s="1">
        <f>IF(B88='Statistical Insight'!$A$5,A88," ")</f>
        <v>66</v>
      </c>
    </row>
    <row r="89" spans="1:3" x14ac:dyDescent="0.25">
      <c r="A89" s="1">
        <f>Data!A89</f>
        <v>54</v>
      </c>
      <c r="B89" s="1">
        <f>Data!B89</f>
        <v>3</v>
      </c>
      <c r="C89" s="1" t="str">
        <f>IF(B89='Statistical Insight'!$A$5,A89," ")</f>
        <v xml:space="preserve"> </v>
      </c>
    </row>
    <row r="90" spans="1:3" x14ac:dyDescent="0.25">
      <c r="A90" s="1">
        <f>Data!A90</f>
        <v>35</v>
      </c>
      <c r="B90" s="1">
        <f>Data!B90</f>
        <v>3</v>
      </c>
      <c r="C90" s="1" t="str">
        <f>IF(B90='Statistical Insight'!$A$5,A90," ")</f>
        <v xml:space="preserve"> </v>
      </c>
    </row>
    <row r="91" spans="1:3" x14ac:dyDescent="0.25">
      <c r="A91" s="1">
        <f>Data!A91</f>
        <v>64</v>
      </c>
      <c r="B91" s="1">
        <f>Data!B91</f>
        <v>3</v>
      </c>
      <c r="C91" s="1" t="str">
        <f>IF(B91='Statistical Insight'!$A$5,A91," ")</f>
        <v xml:space="preserve"> </v>
      </c>
    </row>
    <row r="92" spans="1:3" x14ac:dyDescent="0.25">
      <c r="A92" s="1">
        <f>Data!A92</f>
        <v>37</v>
      </c>
      <c r="B92" s="1">
        <f>Data!B92</f>
        <v>3</v>
      </c>
      <c r="C92" s="1" t="str">
        <f>IF(B92='Statistical Insight'!$A$5,A92," ")</f>
        <v xml:space="preserve"> </v>
      </c>
    </row>
    <row r="93" spans="1:3" x14ac:dyDescent="0.25">
      <c r="A93" s="1">
        <f>Data!A93</f>
        <v>36</v>
      </c>
      <c r="B93" s="1">
        <f>Data!B93</f>
        <v>1</v>
      </c>
      <c r="C93" s="1" t="str">
        <f>IF(B93='Statistical Insight'!$A$5,A93," ")</f>
        <v xml:space="preserve"> </v>
      </c>
    </row>
    <row r="94" spans="1:3" x14ac:dyDescent="0.25">
      <c r="A94" s="1">
        <f>Data!A94</f>
        <v>40</v>
      </c>
      <c r="B94" s="1">
        <f>Data!B94</f>
        <v>4</v>
      </c>
      <c r="C94" s="1" t="str">
        <f>IF(B94='Statistical Insight'!$A$5,A94," ")</f>
        <v xml:space="preserve"> </v>
      </c>
    </row>
    <row r="95" spans="1:3" x14ac:dyDescent="0.25">
      <c r="A95" s="1">
        <f>Data!A95</f>
        <v>43</v>
      </c>
      <c r="B95" s="1">
        <f>Data!B95</f>
        <v>4</v>
      </c>
      <c r="C95" s="1" t="str">
        <f>IF(B95='Statistical Insight'!$A$5,A95," ")</f>
        <v xml:space="preserve"> </v>
      </c>
    </row>
    <row r="96" spans="1:3" x14ac:dyDescent="0.25">
      <c r="A96" s="1">
        <f>Data!A96</f>
        <v>78</v>
      </c>
      <c r="B96" s="1">
        <f>Data!B96</f>
        <v>2</v>
      </c>
      <c r="C96" s="1">
        <f>IF(B96='Statistical Insight'!$A$5,A96," ")</f>
        <v>78</v>
      </c>
    </row>
    <row r="97" spans="1:3" x14ac:dyDescent="0.25">
      <c r="A97" s="1">
        <f>Data!A97</f>
        <v>48</v>
      </c>
      <c r="B97" s="1">
        <f>Data!B97</f>
        <v>1</v>
      </c>
      <c r="C97" s="1" t="str">
        <f>IF(B97='Statistical Insight'!$A$5,A97," ")</f>
        <v xml:space="preserve"> </v>
      </c>
    </row>
    <row r="98" spans="1:3" x14ac:dyDescent="0.25">
      <c r="A98" s="1">
        <f>Data!A98</f>
        <v>64</v>
      </c>
      <c r="B98" s="1">
        <f>Data!B98</f>
        <v>2</v>
      </c>
      <c r="C98" s="1">
        <f>IF(B98='Statistical Insight'!$A$5,A98," ")</f>
        <v>64</v>
      </c>
    </row>
    <row r="99" spans="1:3" x14ac:dyDescent="0.25">
      <c r="A99" s="1">
        <f>Data!A99</f>
        <v>40</v>
      </c>
      <c r="B99" s="1">
        <f>Data!B99</f>
        <v>4</v>
      </c>
      <c r="C99" s="1" t="str">
        <f>IF(B99='Statistical Insight'!$A$5,A99," ")</f>
        <v xml:space="preserve"> </v>
      </c>
    </row>
    <row r="100" spans="1:3" x14ac:dyDescent="0.25">
      <c r="A100" s="1">
        <f>Data!A100</f>
        <v>47</v>
      </c>
      <c r="B100" s="1">
        <f>Data!B100</f>
        <v>4</v>
      </c>
      <c r="C100" s="1" t="str">
        <f>IF(B100='Statistical Insight'!$A$5,A100," ")</f>
        <v xml:space="preserve"> </v>
      </c>
    </row>
    <row r="101" spans="1:3" x14ac:dyDescent="0.25">
      <c r="A101" s="1">
        <f>Data!A101</f>
        <v>60</v>
      </c>
      <c r="B101" s="1">
        <f>Data!B101</f>
        <v>4</v>
      </c>
      <c r="C101" s="1" t="str">
        <f>IF(B101='Statistical Insight'!$A$5,A101," ")</f>
        <v xml:space="preserve"> </v>
      </c>
    </row>
    <row r="102" spans="1:3" x14ac:dyDescent="0.25">
      <c r="A102" s="1">
        <f>Data!A102</f>
        <v>33</v>
      </c>
      <c r="B102" s="1">
        <f>Data!B102</f>
        <v>1</v>
      </c>
      <c r="C102" s="1" t="str">
        <f>IF(B102='Statistical Insight'!$A$5,A102," ")</f>
        <v xml:space="preserve"> </v>
      </c>
    </row>
    <row r="103" spans="1:3" x14ac:dyDescent="0.25">
      <c r="A103" s="1">
        <f>Data!A103</f>
        <v>52</v>
      </c>
      <c r="B103" s="1">
        <f>Data!B103</f>
        <v>4</v>
      </c>
      <c r="C103" s="1" t="str">
        <f>IF(B103='Statistical Insight'!$A$5,A103," ")</f>
        <v xml:space="preserve"> </v>
      </c>
    </row>
    <row r="104" spans="1:3" x14ac:dyDescent="0.25">
      <c r="A104" s="1">
        <f>Data!A104</f>
        <v>30</v>
      </c>
      <c r="B104" s="1">
        <f>Data!B104</f>
        <v>1</v>
      </c>
      <c r="C104" s="1" t="str">
        <f>IF(B104='Statistical Insight'!$A$5,A104," ")</f>
        <v xml:space="preserve"> </v>
      </c>
    </row>
    <row r="105" spans="1:3" x14ac:dyDescent="0.25">
      <c r="A105" s="1">
        <f>Data!A105</f>
        <v>70</v>
      </c>
      <c r="B105" s="1">
        <f>Data!B105</f>
        <v>2</v>
      </c>
      <c r="C105" s="1">
        <f>IF(B105='Statistical Insight'!$A$5,A105," ")</f>
        <v>70</v>
      </c>
    </row>
    <row r="106" spans="1:3" x14ac:dyDescent="0.25">
      <c r="A106" s="1">
        <f>Data!A106</f>
        <v>68</v>
      </c>
      <c r="B106" s="1">
        <f>Data!B106</f>
        <v>1</v>
      </c>
      <c r="C106" s="1" t="str">
        <f>IF(B106='Statistical Insight'!$A$5,A106," ")</f>
        <v xml:space="preserve"> </v>
      </c>
    </row>
    <row r="107" spans="1:3" x14ac:dyDescent="0.25">
      <c r="A107" s="1">
        <f>Data!A107</f>
        <v>61</v>
      </c>
      <c r="B107" s="1">
        <f>Data!B107</f>
        <v>1</v>
      </c>
      <c r="C107" s="1" t="str">
        <f>IF(B107='Statistical Insight'!$A$5,A107," ")</f>
        <v xml:space="preserve"> </v>
      </c>
    </row>
    <row r="108" spans="1:3" x14ac:dyDescent="0.25">
      <c r="A108" s="1">
        <f>Data!A108</f>
        <v>37</v>
      </c>
      <c r="B108" s="1">
        <f>Data!B108</f>
        <v>4</v>
      </c>
      <c r="C108" s="1" t="str">
        <f>IF(B108='Statistical Insight'!$A$5,A108," ")</f>
        <v xml:space="preserve"> </v>
      </c>
    </row>
    <row r="109" spans="1:3" x14ac:dyDescent="0.25">
      <c r="A109" s="1">
        <f>Data!A109</f>
        <v>39</v>
      </c>
      <c r="B109" s="1">
        <f>Data!B109</f>
        <v>4</v>
      </c>
      <c r="C109" s="1" t="str">
        <f>IF(B109='Statistical Insight'!$A$5,A109," ")</f>
        <v xml:space="preserve"> </v>
      </c>
    </row>
    <row r="110" spans="1:3" x14ac:dyDescent="0.25">
      <c r="A110" s="1">
        <f>Data!A110</f>
        <v>62</v>
      </c>
      <c r="B110" s="1">
        <f>Data!B110</f>
        <v>2</v>
      </c>
      <c r="C110" s="1">
        <f>IF(B110='Statistical Insight'!$A$5,A110," ")</f>
        <v>62</v>
      </c>
    </row>
    <row r="111" spans="1:3" x14ac:dyDescent="0.25">
      <c r="A111" s="1">
        <f>Data!A111</f>
        <v>21</v>
      </c>
      <c r="B111" s="1">
        <f>Data!B111</f>
        <v>1</v>
      </c>
      <c r="C111" s="1" t="str">
        <f>IF(B111='Statistical Insight'!$A$5,A111," ")</f>
        <v xml:space="preserve"> </v>
      </c>
    </row>
    <row r="112" spans="1:3" x14ac:dyDescent="0.25">
      <c r="A112" s="1">
        <f>Data!A112</f>
        <v>26</v>
      </c>
      <c r="B112" s="1">
        <f>Data!B112</f>
        <v>4</v>
      </c>
      <c r="C112" s="1" t="str">
        <f>IF(B112='Statistical Insight'!$A$5,A112," ")</f>
        <v xml:space="preserve"> </v>
      </c>
    </row>
    <row r="113" spans="1:3" x14ac:dyDescent="0.25">
      <c r="A113" s="1">
        <f>Data!A113</f>
        <v>100</v>
      </c>
      <c r="B113" s="1">
        <f>Data!B113</f>
        <v>1</v>
      </c>
      <c r="C113" s="1" t="str">
        <f>IF(B113='Statistical Insight'!$A$5,A113," ")</f>
        <v xml:space="preserve"> </v>
      </c>
    </row>
    <row r="114" spans="1:3" x14ac:dyDescent="0.25">
      <c r="A114" s="1">
        <f>Data!A114</f>
        <v>25</v>
      </c>
      <c r="B114" s="1">
        <f>Data!B114</f>
        <v>4</v>
      </c>
      <c r="C114" s="1" t="str">
        <f>IF(B114='Statistical Insight'!$A$5,A114," ")</f>
        <v xml:space="preserve"> </v>
      </c>
    </row>
    <row r="115" spans="1:3" x14ac:dyDescent="0.25">
      <c r="A115" s="1">
        <f>Data!A115</f>
        <v>37</v>
      </c>
      <c r="B115" s="1">
        <f>Data!B115</f>
        <v>2</v>
      </c>
      <c r="C115" s="1">
        <f>IF(B115='Statistical Insight'!$A$5,A115," ")</f>
        <v>37</v>
      </c>
    </row>
    <row r="116" spans="1:3" x14ac:dyDescent="0.25">
      <c r="A116" s="1">
        <f>Data!A116</f>
        <v>21</v>
      </c>
      <c r="B116" s="1">
        <f>Data!B116</f>
        <v>2</v>
      </c>
      <c r="C116" s="1">
        <f>IF(B116='Statistical Insight'!$A$5,A116," ")</f>
        <v>21</v>
      </c>
    </row>
    <row r="117" spans="1:3" x14ac:dyDescent="0.25">
      <c r="A117" s="1">
        <f>Data!A117</f>
        <v>32</v>
      </c>
      <c r="B117" s="1">
        <f>Data!B117</f>
        <v>3</v>
      </c>
      <c r="C117" s="1" t="str">
        <f>IF(B117='Statistical Insight'!$A$5,A117," ")</f>
        <v xml:space="preserve"> </v>
      </c>
    </row>
    <row r="118" spans="1:3" x14ac:dyDescent="0.25">
      <c r="A118" s="1">
        <f>Data!A118</f>
        <v>58</v>
      </c>
      <c r="B118" s="1">
        <f>Data!B118</f>
        <v>2</v>
      </c>
      <c r="C118" s="1">
        <f>IF(B118='Statistical Insight'!$A$5,A118," ")</f>
        <v>58</v>
      </c>
    </row>
    <row r="119" spans="1:3" x14ac:dyDescent="0.25">
      <c r="A119" s="1">
        <f>Data!A119</f>
        <v>54</v>
      </c>
      <c r="B119" s="1">
        <f>Data!B119</f>
        <v>3</v>
      </c>
      <c r="C119" s="1" t="str">
        <f>IF(B119='Statistical Insight'!$A$5,A119," ")</f>
        <v xml:space="preserve"> </v>
      </c>
    </row>
    <row r="120" spans="1:3" x14ac:dyDescent="0.25">
      <c r="A120" s="1">
        <f>Data!A120</f>
        <v>36</v>
      </c>
      <c r="B120" s="1">
        <f>Data!B120</f>
        <v>3</v>
      </c>
      <c r="C120" s="1" t="str">
        <f>IF(B120='Statistical Insight'!$A$5,A120," ")</f>
        <v xml:space="preserve"> </v>
      </c>
    </row>
    <row r="121" spans="1:3" x14ac:dyDescent="0.25">
      <c r="A121" s="1">
        <f>Data!A121</f>
        <v>59</v>
      </c>
      <c r="B121" s="1">
        <f>Data!B121</f>
        <v>2</v>
      </c>
      <c r="C121" s="1">
        <f>IF(B121='Statistical Insight'!$A$5,A121," ")</f>
        <v>59</v>
      </c>
    </row>
    <row r="122" spans="1:3" x14ac:dyDescent="0.25">
      <c r="A122" s="1">
        <f>Data!A122</f>
        <v>65</v>
      </c>
      <c r="B122" s="1">
        <f>Data!B122</f>
        <v>4</v>
      </c>
      <c r="C122" s="1" t="str">
        <f>IF(B122='Statistical Insight'!$A$5,A122," ")</f>
        <v xml:space="preserve"> </v>
      </c>
    </row>
    <row r="123" spans="1:3" x14ac:dyDescent="0.25">
      <c r="A123" s="1">
        <f>Data!A123</f>
        <v>12</v>
      </c>
      <c r="B123" s="1">
        <f>Data!B123</f>
        <v>2</v>
      </c>
      <c r="C123" s="1">
        <f>IF(B123='Statistical Insight'!$A$5,A123," ")</f>
        <v>12</v>
      </c>
    </row>
    <row r="124" spans="1:3" x14ac:dyDescent="0.25">
      <c r="A124" s="1">
        <f>Data!A124</f>
        <v>20</v>
      </c>
      <c r="B124" s="1">
        <f>Data!B124</f>
        <v>2</v>
      </c>
      <c r="C124" s="1">
        <f>IF(B124='Statistical Insight'!$A$5,A124," ")</f>
        <v>20</v>
      </c>
    </row>
    <row r="125" spans="1:3" x14ac:dyDescent="0.25">
      <c r="A125" s="1">
        <f>Data!A125</f>
        <v>55</v>
      </c>
      <c r="B125" s="1">
        <f>Data!B125</f>
        <v>4</v>
      </c>
      <c r="C125" s="1" t="str">
        <f>IF(B125='Statistical Insight'!$A$5,A125," ")</f>
        <v xml:space="preserve"> </v>
      </c>
    </row>
    <row r="126" spans="1:3" x14ac:dyDescent="0.25">
      <c r="A126" s="1">
        <f>Data!A126</f>
        <v>80</v>
      </c>
      <c r="B126" s="1">
        <f>Data!B126</f>
        <v>3</v>
      </c>
      <c r="C126" s="1" t="str">
        <f>IF(B126='Statistical Insight'!$A$5,A126," ")</f>
        <v xml:space="preserve"> </v>
      </c>
    </row>
    <row r="127" spans="1:3" x14ac:dyDescent="0.25">
      <c r="A127" s="1">
        <f>Data!A127</f>
        <v>68</v>
      </c>
      <c r="B127" s="1">
        <f>Data!B127</f>
        <v>3</v>
      </c>
      <c r="C127" s="1" t="str">
        <f>IF(B127='Statistical Insight'!$A$5,A127," ")</f>
        <v xml:space="preserve"> </v>
      </c>
    </row>
    <row r="128" spans="1:3" x14ac:dyDescent="0.25">
      <c r="A128" s="1">
        <f>Data!A128</f>
        <v>22</v>
      </c>
      <c r="B128" s="1">
        <f>Data!B128</f>
        <v>4</v>
      </c>
      <c r="C128" s="1" t="str">
        <f>IF(B128='Statistical Insight'!$A$5,A128," ")</f>
        <v xml:space="preserve"> </v>
      </c>
    </row>
    <row r="129" spans="1:3" x14ac:dyDescent="0.25">
      <c r="A129" s="1">
        <f>Data!A129</f>
        <v>11</v>
      </c>
      <c r="B129" s="1">
        <f>Data!B129</f>
        <v>1</v>
      </c>
      <c r="C129" s="1" t="str">
        <f>IF(B129='Statistical Insight'!$A$5,A129," ")</f>
        <v xml:space="preserve"> </v>
      </c>
    </row>
    <row r="130" spans="1:3" x14ac:dyDescent="0.25">
      <c r="A130" s="1">
        <f>Data!A130</f>
        <v>56</v>
      </c>
      <c r="B130" s="1">
        <f>Data!B130</f>
        <v>3</v>
      </c>
      <c r="C130" s="1" t="str">
        <f>IF(B130='Statistical Insight'!$A$5,A130," ")</f>
        <v xml:space="preserve"> </v>
      </c>
    </row>
    <row r="131" spans="1:3" x14ac:dyDescent="0.25">
      <c r="A131" s="1">
        <f>Data!A131</f>
        <v>18</v>
      </c>
      <c r="B131" s="1">
        <f>Data!B131</f>
        <v>3</v>
      </c>
      <c r="C131" s="1" t="str">
        <f>IF(B131='Statistical Insight'!$A$5,A131," ")</f>
        <v xml:space="preserve"> </v>
      </c>
    </row>
    <row r="132" spans="1:3" x14ac:dyDescent="0.25">
      <c r="A132" s="1">
        <f>Data!A132</f>
        <v>10</v>
      </c>
      <c r="B132" s="1">
        <f>Data!B132</f>
        <v>2</v>
      </c>
      <c r="C132" s="1">
        <f>IF(B132='Statistical Insight'!$A$5,A132," ")</f>
        <v>10</v>
      </c>
    </row>
    <row r="133" spans="1:3" x14ac:dyDescent="0.25">
      <c r="A133" s="1">
        <f>Data!A133</f>
        <v>59</v>
      </c>
      <c r="B133" s="1">
        <f>Data!B133</f>
        <v>2</v>
      </c>
      <c r="C133" s="1">
        <f>IF(B133='Statistical Insight'!$A$5,A133," ")</f>
        <v>59</v>
      </c>
    </row>
    <row r="134" spans="1:3" x14ac:dyDescent="0.25">
      <c r="A134" s="1">
        <f>Data!A134</f>
        <v>64</v>
      </c>
      <c r="B134" s="1">
        <f>Data!B134</f>
        <v>4</v>
      </c>
      <c r="C134" s="1" t="str">
        <f>IF(B134='Statistical Insight'!$A$5,A134," ")</f>
        <v xml:space="preserve"> </v>
      </c>
    </row>
    <row r="135" spans="1:3" x14ac:dyDescent="0.25">
      <c r="A135" s="1">
        <f>Data!A135</f>
        <v>60</v>
      </c>
      <c r="B135" s="1">
        <f>Data!B135</f>
        <v>3</v>
      </c>
      <c r="C135" s="1" t="str">
        <f>IF(B135='Statistical Insight'!$A$5,A135," ")</f>
        <v xml:space="preserve"> </v>
      </c>
    </row>
    <row r="136" spans="1:3" x14ac:dyDescent="0.25">
      <c r="A136" s="1">
        <f>Data!A136</f>
        <v>69</v>
      </c>
      <c r="B136" s="1">
        <f>Data!B136</f>
        <v>1</v>
      </c>
      <c r="C136" s="1" t="str">
        <f>IF(B136='Statistical Insight'!$A$5,A136," ")</f>
        <v xml:space="preserve"> </v>
      </c>
    </row>
    <row r="137" spans="1:3" x14ac:dyDescent="0.25">
      <c r="A137" s="1">
        <f>Data!A137</f>
        <v>88</v>
      </c>
      <c r="B137" s="1">
        <f>Data!B137</f>
        <v>1</v>
      </c>
      <c r="C137" s="1" t="str">
        <f>IF(B137='Statistical Insight'!$A$5,A137," ")</f>
        <v xml:space="preserve"> </v>
      </c>
    </row>
    <row r="138" spans="1:3" x14ac:dyDescent="0.25">
      <c r="A138" s="1">
        <f>Data!A138</f>
        <v>45</v>
      </c>
      <c r="B138" s="1">
        <f>Data!B138</f>
        <v>4</v>
      </c>
      <c r="C138" s="1" t="str">
        <f>IF(B138='Statistical Insight'!$A$5,A138," ")</f>
        <v xml:space="preserve"> </v>
      </c>
    </row>
    <row r="139" spans="1:3" x14ac:dyDescent="0.25">
      <c r="A139" s="1">
        <f>Data!A139</f>
        <v>100</v>
      </c>
      <c r="B139" s="1">
        <f>Data!B139</f>
        <v>1</v>
      </c>
      <c r="C139" s="1" t="str">
        <f>IF(B139='Statistical Insight'!$A$5,A139," ")</f>
        <v xml:space="preserve"> </v>
      </c>
    </row>
    <row r="140" spans="1:3" x14ac:dyDescent="0.25">
      <c r="A140" s="1">
        <f>Data!A140</f>
        <v>40</v>
      </c>
      <c r="B140" s="1">
        <f>Data!B140</f>
        <v>2</v>
      </c>
      <c r="C140" s="1">
        <f>IF(B140='Statistical Insight'!$A$5,A140," ")</f>
        <v>40</v>
      </c>
    </row>
    <row r="141" spans="1:3" x14ac:dyDescent="0.25">
      <c r="A141" s="1">
        <f>Data!A141</f>
        <v>0</v>
      </c>
      <c r="B141" s="1">
        <f>Data!B141</f>
        <v>4</v>
      </c>
      <c r="C141" s="1" t="str">
        <f>IF(B141='Statistical Insight'!$A$5,A141," ")</f>
        <v xml:space="preserve"> </v>
      </c>
    </row>
    <row r="142" spans="1:3" x14ac:dyDescent="0.25">
      <c r="A142" s="1">
        <f>Data!A142</f>
        <v>36</v>
      </c>
      <c r="B142" s="1">
        <f>Data!B142</f>
        <v>1</v>
      </c>
      <c r="C142" s="1" t="str">
        <f>IF(B142='Statistical Insight'!$A$5,A142," ")</f>
        <v xml:space="preserve"> </v>
      </c>
    </row>
    <row r="143" spans="1:3" x14ac:dyDescent="0.25">
      <c r="A143" s="1">
        <f>Data!A143</f>
        <v>32</v>
      </c>
      <c r="B143" s="1">
        <f>Data!B143</f>
        <v>3</v>
      </c>
      <c r="C143" s="1" t="str">
        <f>IF(B143='Statistical Insight'!$A$5,A143," ")</f>
        <v xml:space="preserve"> </v>
      </c>
    </row>
    <row r="144" spans="1:3" x14ac:dyDescent="0.25">
      <c r="A144" s="1">
        <f>Data!A144</f>
        <v>54</v>
      </c>
      <c r="B144" s="1">
        <f>Data!B144</f>
        <v>3</v>
      </c>
      <c r="C144" s="1" t="str">
        <f>IF(B144='Statistical Insight'!$A$5,A144," ")</f>
        <v xml:space="preserve"> </v>
      </c>
    </row>
    <row r="145" spans="1:3" x14ac:dyDescent="0.25">
      <c r="A145" s="1">
        <f>Data!A145</f>
        <v>28</v>
      </c>
      <c r="B145" s="1">
        <f>Data!B145</f>
        <v>2</v>
      </c>
      <c r="C145" s="1">
        <f>IF(B145='Statistical Insight'!$A$5,A145," ")</f>
        <v>28</v>
      </c>
    </row>
    <row r="146" spans="1:3" x14ac:dyDescent="0.25">
      <c r="A146" s="1">
        <f>Data!A146</f>
        <v>55</v>
      </c>
      <c r="B146" s="1">
        <f>Data!B146</f>
        <v>1</v>
      </c>
      <c r="C146" s="1" t="str">
        <f>IF(B146='Statistical Insight'!$A$5,A146," ")</f>
        <v xml:space="preserve"> </v>
      </c>
    </row>
    <row r="147" spans="1:3" x14ac:dyDescent="0.25">
      <c r="A147" s="1">
        <f>Data!A147</f>
        <v>50</v>
      </c>
      <c r="B147" s="1">
        <f>Data!B147</f>
        <v>4</v>
      </c>
      <c r="C147" s="1" t="str">
        <f>IF(B147='Statistical Insight'!$A$5,A147," ")</f>
        <v xml:space="preserve"> </v>
      </c>
    </row>
    <row r="148" spans="1:3" x14ac:dyDescent="0.25">
      <c r="A148" s="1">
        <f>Data!A148</f>
        <v>20</v>
      </c>
      <c r="B148" s="1">
        <f>Data!B148</f>
        <v>3</v>
      </c>
      <c r="C148" s="1" t="str">
        <f>IF(B148='Statistical Insight'!$A$5,A148," ")</f>
        <v xml:space="preserve"> </v>
      </c>
    </row>
    <row r="149" spans="1:3" x14ac:dyDescent="0.25">
      <c r="A149" s="1">
        <f>Data!A149</f>
        <v>32</v>
      </c>
      <c r="B149" s="1">
        <f>Data!B149</f>
        <v>2</v>
      </c>
      <c r="C149" s="1">
        <f>IF(B149='Statistical Insight'!$A$5,A149," ")</f>
        <v>32</v>
      </c>
    </row>
    <row r="150" spans="1:3" x14ac:dyDescent="0.25">
      <c r="A150" s="1">
        <f>Data!A150</f>
        <v>21</v>
      </c>
      <c r="B150" s="1">
        <f>Data!B150</f>
        <v>4</v>
      </c>
      <c r="C150" s="1" t="str">
        <f>IF(B150='Statistical Insight'!$A$5,A150," ")</f>
        <v xml:space="preserve"> </v>
      </c>
    </row>
    <row r="151" spans="1:3" x14ac:dyDescent="0.25">
      <c r="A151" s="1">
        <f>Data!A151</f>
        <v>81</v>
      </c>
      <c r="B151" s="1">
        <f>Data!B151</f>
        <v>4</v>
      </c>
      <c r="C151" s="1" t="str">
        <f>IF(B151='Statistical Insight'!$A$5,A151," ")</f>
        <v xml:space="preserve"> </v>
      </c>
    </row>
    <row r="152" spans="1:3" x14ac:dyDescent="0.25">
      <c r="A152" s="1">
        <f>Data!A152</f>
        <v>34</v>
      </c>
      <c r="B152" s="1">
        <f>Data!B152</f>
        <v>4</v>
      </c>
      <c r="C152" s="1" t="str">
        <f>IF(B152='Statistical Insight'!$A$5,A152," ")</f>
        <v xml:space="preserve"> </v>
      </c>
    </row>
    <row r="153" spans="1:3" x14ac:dyDescent="0.25">
      <c r="A153" s="1">
        <f>Data!A153</f>
        <v>25</v>
      </c>
      <c r="B153" s="1">
        <f>Data!B153</f>
        <v>3</v>
      </c>
      <c r="C153" s="1" t="str">
        <f>IF(B153='Statistical Insight'!$A$5,A153," ")</f>
        <v xml:space="preserve"> </v>
      </c>
    </row>
    <row r="154" spans="1:3" x14ac:dyDescent="0.25">
      <c r="A154" s="1">
        <f>Data!A154</f>
        <v>35</v>
      </c>
      <c r="B154" s="1">
        <f>Data!B154</f>
        <v>2</v>
      </c>
      <c r="C154" s="1">
        <f>IF(B154='Statistical Insight'!$A$5,A154," ")</f>
        <v>35</v>
      </c>
    </row>
    <row r="155" spans="1:3" x14ac:dyDescent="0.25">
      <c r="A155" s="1">
        <f>Data!A155</f>
        <v>27</v>
      </c>
      <c r="B155" s="1">
        <f>Data!B155</f>
        <v>4</v>
      </c>
      <c r="C155" s="1" t="str">
        <f>IF(B155='Statistical Insight'!$A$5,A155," ")</f>
        <v xml:space="preserve"> </v>
      </c>
    </row>
    <row r="156" spans="1:3" x14ac:dyDescent="0.25">
      <c r="A156" s="1">
        <f>Data!A156</f>
        <v>41</v>
      </c>
      <c r="B156" s="1">
        <f>Data!B156</f>
        <v>3</v>
      </c>
      <c r="C156" s="1" t="str">
        <f>IF(B156='Statistical Insight'!$A$5,A156," ")</f>
        <v xml:space="preserve"> </v>
      </c>
    </row>
    <row r="157" spans="1:3" x14ac:dyDescent="0.25">
      <c r="A157" s="1">
        <f>Data!A157</f>
        <v>64</v>
      </c>
      <c r="B157" s="1">
        <f>Data!B157</f>
        <v>4</v>
      </c>
      <c r="C157" s="1" t="str">
        <f>IF(B157='Statistical Insight'!$A$5,A157," ")</f>
        <v xml:space="preserve"> </v>
      </c>
    </row>
    <row r="158" spans="1:3" x14ac:dyDescent="0.25">
      <c r="A158" s="1">
        <f>Data!A158</f>
        <v>41</v>
      </c>
      <c r="B158" s="1">
        <f>Data!B158</f>
        <v>4</v>
      </c>
      <c r="C158" s="1" t="str">
        <f>IF(B158='Statistical Insight'!$A$5,A158," ")</f>
        <v xml:space="preserve"> </v>
      </c>
    </row>
    <row r="159" spans="1:3" x14ac:dyDescent="0.25">
      <c r="A159" s="1">
        <f>Data!A159</f>
        <v>60</v>
      </c>
      <c r="B159" s="1">
        <f>Data!B159</f>
        <v>3</v>
      </c>
      <c r="C159" s="1" t="str">
        <f>IF(B159='Statistical Insight'!$A$5,A159," ")</f>
        <v xml:space="preserve"> </v>
      </c>
    </row>
    <row r="160" spans="1:3" x14ac:dyDescent="0.25">
      <c r="A160" s="1">
        <f>Data!A160</f>
        <v>25</v>
      </c>
      <c r="B160" s="1">
        <f>Data!B160</f>
        <v>2</v>
      </c>
      <c r="C160" s="1">
        <f>IF(B160='Statistical Insight'!$A$5,A160," ")</f>
        <v>25</v>
      </c>
    </row>
    <row r="161" spans="1:3" x14ac:dyDescent="0.25">
      <c r="A161" s="1">
        <f>Data!A161</f>
        <v>55</v>
      </c>
      <c r="B161" s="1">
        <f>Data!B161</f>
        <v>2</v>
      </c>
      <c r="C161" s="1">
        <f>IF(B161='Statistical Insight'!$A$5,A161," ")</f>
        <v>55</v>
      </c>
    </row>
    <row r="162" spans="1:3" x14ac:dyDescent="0.25">
      <c r="A162" s="1">
        <f>Data!A162</f>
        <v>24</v>
      </c>
      <c r="B162" s="1">
        <f>Data!B162</f>
        <v>2</v>
      </c>
      <c r="C162" s="1">
        <f>IF(B162='Statistical Insight'!$A$5,A162," ")</f>
        <v>24</v>
      </c>
    </row>
    <row r="163" spans="1:3" x14ac:dyDescent="0.25">
      <c r="A163" s="1">
        <f>Data!A163</f>
        <v>68</v>
      </c>
      <c r="B163" s="1">
        <f>Data!B163</f>
        <v>3</v>
      </c>
      <c r="C163" s="1" t="str">
        <f>IF(B163='Statistical Insight'!$A$5,A163," ")</f>
        <v xml:space="preserve"> </v>
      </c>
    </row>
    <row r="164" spans="1:3" x14ac:dyDescent="0.25">
      <c r="A164" s="1">
        <f>Data!A164</f>
        <v>14</v>
      </c>
      <c r="B164" s="1">
        <f>Data!B164</f>
        <v>1</v>
      </c>
      <c r="C164" s="1" t="str">
        <f>IF(B164='Statistical Insight'!$A$5,A164," ")</f>
        <v xml:space="preserve"> </v>
      </c>
    </row>
    <row r="165" spans="1:3" x14ac:dyDescent="0.25">
      <c r="A165" s="1">
        <f>Data!A165</f>
        <v>46</v>
      </c>
      <c r="B165" s="1">
        <f>Data!B165</f>
        <v>4</v>
      </c>
      <c r="C165" s="1" t="str">
        <f>IF(B165='Statistical Insight'!$A$5,A165," ")</f>
        <v xml:space="preserve"> </v>
      </c>
    </row>
    <row r="166" spans="1:3" x14ac:dyDescent="0.25">
      <c r="A166" s="1">
        <f>Data!A166</f>
        <v>29</v>
      </c>
      <c r="B166" s="1">
        <f>Data!B166</f>
        <v>3</v>
      </c>
      <c r="C166" s="1" t="str">
        <f>IF(B166='Statistical Insight'!$A$5,A166," ")</f>
        <v xml:space="preserve"> </v>
      </c>
    </row>
    <row r="167" spans="1:3" x14ac:dyDescent="0.25">
      <c r="A167" s="1">
        <f>Data!A167</f>
        <v>53</v>
      </c>
      <c r="B167" s="1">
        <f>Data!B167</f>
        <v>2</v>
      </c>
      <c r="C167" s="1">
        <f>IF(B167='Statistical Insight'!$A$5,A167," ")</f>
        <v>53</v>
      </c>
    </row>
    <row r="168" spans="1:3" x14ac:dyDescent="0.25">
      <c r="A168" s="1">
        <f>Data!A168</f>
        <v>37</v>
      </c>
      <c r="B168" s="1">
        <f>Data!B168</f>
        <v>1</v>
      </c>
      <c r="C168" s="1" t="str">
        <f>IF(B168='Statistical Insight'!$A$5,A168," ")</f>
        <v xml:space="preserve"> </v>
      </c>
    </row>
    <row r="169" spans="1:3" x14ac:dyDescent="0.25">
      <c r="A169" s="1">
        <f>Data!A169</f>
        <v>63</v>
      </c>
      <c r="B169" s="1">
        <f>Data!B169</f>
        <v>3</v>
      </c>
      <c r="C169" s="1" t="str">
        <f>IF(B169='Statistical Insight'!$A$5,A169," ")</f>
        <v xml:space="preserve"> </v>
      </c>
    </row>
    <row r="170" spans="1:3" x14ac:dyDescent="0.25">
      <c r="A170" s="1">
        <f>Data!A170</f>
        <v>80</v>
      </c>
      <c r="B170" s="1">
        <f>Data!B170</f>
        <v>3</v>
      </c>
      <c r="C170" s="1" t="str">
        <f>IF(B170='Statistical Insight'!$A$5,A170," ")</f>
        <v xml:space="preserve"> </v>
      </c>
    </row>
    <row r="171" spans="1:3" x14ac:dyDescent="0.25">
      <c r="A171" s="1">
        <f>Data!A171</f>
        <v>24</v>
      </c>
      <c r="B171" s="1">
        <f>Data!B171</f>
        <v>1</v>
      </c>
      <c r="C171" s="1" t="str">
        <f>IF(B171='Statistical Insight'!$A$5,A171," ")</f>
        <v xml:space="preserve"> </v>
      </c>
    </row>
    <row r="172" spans="1:3" x14ac:dyDescent="0.25">
      <c r="A172" s="1">
        <f>Data!A172</f>
        <v>74</v>
      </c>
      <c r="B172" s="1">
        <f>Data!B172</f>
        <v>4</v>
      </c>
      <c r="C172" s="1" t="str">
        <f>IF(B172='Statistical Insight'!$A$5,A172," ")</f>
        <v xml:space="preserve"> </v>
      </c>
    </row>
    <row r="173" spans="1:3" x14ac:dyDescent="0.25">
      <c r="A173" s="1">
        <f>Data!A173</f>
        <v>47</v>
      </c>
      <c r="B173" s="1">
        <f>Data!B173</f>
        <v>3</v>
      </c>
      <c r="C173" s="1" t="str">
        <f>IF(B173='Statistical Insight'!$A$5,A173," ")</f>
        <v xml:space="preserve"> </v>
      </c>
    </row>
    <row r="174" spans="1:3" x14ac:dyDescent="0.25">
      <c r="A174" s="1">
        <f>Data!A174</f>
        <v>5</v>
      </c>
      <c r="B174" s="1">
        <f>Data!B174</f>
        <v>1</v>
      </c>
      <c r="C174" s="1" t="str">
        <f>IF(B174='Statistical Insight'!$A$5,A174," ")</f>
        <v xml:space="preserve"> </v>
      </c>
    </row>
    <row r="175" spans="1:3" x14ac:dyDescent="0.25">
      <c r="A175" s="1">
        <f>Data!A175</f>
        <v>63</v>
      </c>
      <c r="B175" s="1">
        <f>Data!B175</f>
        <v>4</v>
      </c>
      <c r="C175" s="1" t="str">
        <f>IF(B175='Statistical Insight'!$A$5,A175," ")</f>
        <v xml:space="preserve"> </v>
      </c>
    </row>
    <row r="176" spans="1:3" x14ac:dyDescent="0.25">
      <c r="A176" s="1">
        <f>Data!A176</f>
        <v>56</v>
      </c>
      <c r="B176" s="1">
        <f>Data!B176</f>
        <v>3</v>
      </c>
      <c r="C176" s="1" t="str">
        <f>IF(B176='Statistical Insight'!$A$5,A176," ")</f>
        <v xml:space="preserve"> </v>
      </c>
    </row>
    <row r="177" spans="1:3" x14ac:dyDescent="0.25">
      <c r="A177" s="1">
        <f>Data!A177</f>
        <v>54</v>
      </c>
      <c r="B177" s="1">
        <f>Data!B177</f>
        <v>1</v>
      </c>
      <c r="C177" s="1" t="str">
        <f>IF(B177='Statistical Insight'!$A$5,A177," ")</f>
        <v xml:space="preserve"> </v>
      </c>
    </row>
    <row r="178" spans="1:3" x14ac:dyDescent="0.25">
      <c r="A178" s="1">
        <f>Data!A178</f>
        <v>47</v>
      </c>
      <c r="B178" s="1">
        <f>Data!B178</f>
        <v>1</v>
      </c>
      <c r="C178" s="1" t="str">
        <f>IF(B178='Statistical Insight'!$A$5,A178," ")</f>
        <v xml:space="preserve"> </v>
      </c>
    </row>
    <row r="179" spans="1:3" x14ac:dyDescent="0.25">
      <c r="A179" s="1">
        <f>Data!A179</f>
        <v>49</v>
      </c>
      <c r="B179" s="1">
        <f>Data!B179</f>
        <v>4</v>
      </c>
      <c r="C179" s="1" t="str">
        <f>IF(B179='Statistical Insight'!$A$5,A179," ")</f>
        <v xml:space="preserve"> </v>
      </c>
    </row>
    <row r="180" spans="1:3" x14ac:dyDescent="0.25">
      <c r="A180" s="1">
        <f>Data!A180</f>
        <v>0</v>
      </c>
      <c r="B180" s="1">
        <f>Data!B180</f>
        <v>3</v>
      </c>
      <c r="C180" s="1" t="str">
        <f>IF(B180='Statistical Insight'!$A$5,A180," ")</f>
        <v xml:space="preserve"> </v>
      </c>
    </row>
    <row r="181" spans="1:3" x14ac:dyDescent="0.25">
      <c r="A181" s="1">
        <f>Data!A181</f>
        <v>58</v>
      </c>
      <c r="B181" s="1">
        <f>Data!B181</f>
        <v>3</v>
      </c>
      <c r="C181" s="1" t="str">
        <f>IF(B181='Statistical Insight'!$A$5,A181," ")</f>
        <v xml:space="preserve"> </v>
      </c>
    </row>
    <row r="182" spans="1:3" x14ac:dyDescent="0.25">
      <c r="A182" s="1">
        <f>Data!A182</f>
        <v>72</v>
      </c>
      <c r="B182" s="1">
        <f>Data!B182</f>
        <v>3</v>
      </c>
      <c r="C182" s="1" t="str">
        <f>IF(B182='Statistical Insight'!$A$5,A182," ")</f>
        <v xml:space="preserve"> </v>
      </c>
    </row>
    <row r="183" spans="1:3" x14ac:dyDescent="0.25">
      <c r="A183" s="1">
        <f>Data!A183</f>
        <v>59</v>
      </c>
      <c r="B183" s="1">
        <f>Data!B183</f>
        <v>3</v>
      </c>
      <c r="C183" s="1" t="str">
        <f>IF(B183='Statistical Insight'!$A$5,A183," ")</f>
        <v xml:space="preserve"> </v>
      </c>
    </row>
    <row r="184" spans="1:3" x14ac:dyDescent="0.25">
      <c r="A184" s="1">
        <f>Data!A184</f>
        <v>50</v>
      </c>
      <c r="B184" s="1">
        <f>Data!B184</f>
        <v>4</v>
      </c>
      <c r="C184" s="1" t="str">
        <f>IF(B184='Statistical Insight'!$A$5,A184," ")</f>
        <v xml:space="preserve"> </v>
      </c>
    </row>
    <row r="185" spans="1:3" x14ac:dyDescent="0.25">
      <c r="A185" s="1">
        <f>Data!A185</f>
        <v>56</v>
      </c>
      <c r="B185" s="1">
        <f>Data!B185</f>
        <v>3</v>
      </c>
      <c r="C185" s="1" t="str">
        <f>IF(B185='Statistical Insight'!$A$5,A185," ")</f>
        <v xml:space="preserve"> </v>
      </c>
    </row>
    <row r="186" spans="1:3" x14ac:dyDescent="0.25">
      <c r="A186" s="1">
        <f>Data!A186</f>
        <v>31</v>
      </c>
      <c r="B186" s="1">
        <f>Data!B186</f>
        <v>3</v>
      </c>
      <c r="C186" s="1" t="str">
        <f>IF(B186='Statistical Insight'!$A$5,A186," ")</f>
        <v xml:space="preserve"> </v>
      </c>
    </row>
    <row r="187" spans="1:3" x14ac:dyDescent="0.25">
      <c r="A187" s="1">
        <f>Data!A187</f>
        <v>44</v>
      </c>
      <c r="B187" s="1">
        <f>Data!B187</f>
        <v>2</v>
      </c>
      <c r="C187" s="1">
        <f>IF(B187='Statistical Insight'!$A$5,A187," ")</f>
        <v>44</v>
      </c>
    </row>
    <row r="188" spans="1:3" x14ac:dyDescent="0.25">
      <c r="A188" s="1">
        <f>Data!A188</f>
        <v>43</v>
      </c>
      <c r="B188" s="1">
        <f>Data!B188</f>
        <v>2</v>
      </c>
      <c r="C188" s="1">
        <f>IF(B188='Statistical Insight'!$A$5,A188," ")</f>
        <v>43</v>
      </c>
    </row>
    <row r="189" spans="1:3" x14ac:dyDescent="0.25">
      <c r="A189" s="1">
        <f>Data!A189</f>
        <v>50</v>
      </c>
      <c r="B189" s="1">
        <f>Data!B189</f>
        <v>3</v>
      </c>
      <c r="C189" s="1" t="str">
        <f>IF(B189='Statistical Insight'!$A$5,A189," ")</f>
        <v xml:space="preserve"> </v>
      </c>
    </row>
    <row r="190" spans="1:3" x14ac:dyDescent="0.25">
      <c r="A190" s="1">
        <f>Data!A190</f>
        <v>58</v>
      </c>
      <c r="B190" s="1">
        <f>Data!B190</f>
        <v>2</v>
      </c>
      <c r="C190" s="1">
        <f>IF(B190='Statistical Insight'!$A$5,A190," ")</f>
        <v>58</v>
      </c>
    </row>
    <row r="191" spans="1:3" x14ac:dyDescent="0.25">
      <c r="A191" s="1">
        <f>Data!A191</f>
        <v>10</v>
      </c>
      <c r="B191" s="1">
        <f>Data!B191</f>
        <v>3</v>
      </c>
      <c r="C191" s="1" t="str">
        <f>IF(B191='Statistical Insight'!$A$5,A191," ")</f>
        <v xml:space="preserve"> </v>
      </c>
    </row>
    <row r="192" spans="1:3" x14ac:dyDescent="0.25">
      <c r="A192" s="1">
        <f>Data!A192</f>
        <v>34</v>
      </c>
      <c r="B192" s="1">
        <f>Data!B192</f>
        <v>1</v>
      </c>
      <c r="C192" s="1" t="str">
        <f>IF(B192='Statistical Insight'!$A$5,A192," ")</f>
        <v xml:space="preserve"> </v>
      </c>
    </row>
    <row r="193" spans="1:3" x14ac:dyDescent="0.25">
      <c r="A193" s="1">
        <f>Data!A193</f>
        <v>5</v>
      </c>
      <c r="B193" s="1">
        <f>Data!B193</f>
        <v>4</v>
      </c>
      <c r="C193" s="1" t="str">
        <f>IF(B193='Statistical Insight'!$A$5,A193," ")</f>
        <v xml:space="preserve"> </v>
      </c>
    </row>
    <row r="194" spans="1:3" x14ac:dyDescent="0.25">
      <c r="A194" s="1">
        <f>Data!A194</f>
        <v>73</v>
      </c>
      <c r="B194" s="1">
        <f>Data!B194</f>
        <v>1</v>
      </c>
      <c r="C194" s="1" t="str">
        <f>IF(B194='Statistical Insight'!$A$5,A194," ")</f>
        <v xml:space="preserve"> </v>
      </c>
    </row>
    <row r="195" spans="1:3" x14ac:dyDescent="0.25">
      <c r="A195" s="1">
        <f>Data!A195</f>
        <v>84</v>
      </c>
      <c r="B195" s="1">
        <f>Data!B195</f>
        <v>4</v>
      </c>
      <c r="C195" s="1" t="str">
        <f>IF(B195='Statistical Insight'!$A$5,A195," ")</f>
        <v xml:space="preserve"> </v>
      </c>
    </row>
    <row r="196" spans="1:3" x14ac:dyDescent="0.25">
      <c r="A196" s="1">
        <f>Data!A196</f>
        <v>46</v>
      </c>
      <c r="B196" s="1">
        <f>Data!B196</f>
        <v>4</v>
      </c>
      <c r="C196" s="1" t="str">
        <f>IF(B196='Statistical Insight'!$A$5,A196," ")</f>
        <v xml:space="preserve"> </v>
      </c>
    </row>
    <row r="197" spans="1:3" x14ac:dyDescent="0.25">
      <c r="A197" s="1">
        <f>Data!A197</f>
        <v>51</v>
      </c>
      <c r="B197" s="1">
        <f>Data!B197</f>
        <v>2</v>
      </c>
      <c r="C197" s="1">
        <f>IF(B197='Statistical Insight'!$A$5,A197," ")</f>
        <v>51</v>
      </c>
    </row>
    <row r="198" spans="1:3" x14ac:dyDescent="0.25">
      <c r="A198" s="1">
        <f>Data!A198</f>
        <v>75</v>
      </c>
      <c r="B198" s="1">
        <f>Data!B198</f>
        <v>4</v>
      </c>
      <c r="C198" s="1" t="str">
        <f>IF(B198='Statistical Insight'!$A$5,A198," ")</f>
        <v xml:space="preserve"> </v>
      </c>
    </row>
    <row r="199" spans="1:3" x14ac:dyDescent="0.25">
      <c r="A199" s="1">
        <f>Data!A199</f>
        <v>20</v>
      </c>
      <c r="B199" s="1">
        <f>Data!B199</f>
        <v>3</v>
      </c>
      <c r="C199" s="1" t="str">
        <f>IF(B199='Statistical Insight'!$A$5,A199," ")</f>
        <v xml:space="preserve"> </v>
      </c>
    </row>
    <row r="200" spans="1:3" x14ac:dyDescent="0.25">
      <c r="A200" s="1">
        <f>Data!A200</f>
        <v>50</v>
      </c>
      <c r="B200" s="1">
        <f>Data!B200</f>
        <v>4</v>
      </c>
      <c r="C200" s="1" t="str">
        <f>IF(B200='Statistical Insight'!$A$5,A200," ")</f>
        <v xml:space="preserve"> </v>
      </c>
    </row>
    <row r="201" spans="1:3" x14ac:dyDescent="0.25">
      <c r="A201" s="1">
        <f>Data!A201</f>
        <v>22</v>
      </c>
      <c r="B201" s="1">
        <f>Data!B201</f>
        <v>1</v>
      </c>
      <c r="C201" s="1" t="str">
        <f>IF(B201='Statistical Insight'!$A$5,A201," ")</f>
        <v xml:space="preserve"> </v>
      </c>
    </row>
    <row r="202" spans="1:3" x14ac:dyDescent="0.25">
      <c r="A202" s="1">
        <f>Data!A202</f>
        <v>76</v>
      </c>
      <c r="B202" s="1">
        <f>Data!B202</f>
        <v>3</v>
      </c>
      <c r="C202" s="1" t="str">
        <f>IF(B202='Statistical Insight'!$A$5,A202," ")</f>
        <v xml:space="preserve"> </v>
      </c>
    </row>
    <row r="203" spans="1:3" x14ac:dyDescent="0.25">
      <c r="A203" s="1">
        <f>Data!A203</f>
        <v>47</v>
      </c>
      <c r="B203" s="1">
        <f>Data!B203</f>
        <v>4</v>
      </c>
      <c r="C203" s="1" t="str">
        <f>IF(B203='Statistical Insight'!$A$5,A203," ")</f>
        <v xml:space="preserve"> </v>
      </c>
    </row>
    <row r="204" spans="1:3" x14ac:dyDescent="0.25">
      <c r="A204" s="1">
        <f>Data!A204</f>
        <v>74</v>
      </c>
      <c r="B204" s="1">
        <f>Data!B204</f>
        <v>3</v>
      </c>
      <c r="C204" s="1" t="str">
        <f>IF(B204='Statistical Insight'!$A$5,A204," ")</f>
        <v xml:space="preserve"> </v>
      </c>
    </row>
    <row r="205" spans="1:3" x14ac:dyDescent="0.25">
      <c r="A205" s="1">
        <f>Data!A205</f>
        <v>57</v>
      </c>
      <c r="B205" s="1">
        <f>Data!B205</f>
        <v>4</v>
      </c>
      <c r="C205" s="1" t="str">
        <f>IF(B205='Statistical Insight'!$A$5,A205," ")</f>
        <v xml:space="preserve"> </v>
      </c>
    </row>
    <row r="206" spans="1:3" x14ac:dyDescent="0.25">
      <c r="A206" s="1">
        <f>Data!A206</f>
        <v>96</v>
      </c>
      <c r="B206" s="1">
        <f>Data!B206</f>
        <v>2</v>
      </c>
      <c r="C206" s="1">
        <f>IF(B206='Statistical Insight'!$A$5,A206," ")</f>
        <v>96</v>
      </c>
    </row>
    <row r="207" spans="1:3" x14ac:dyDescent="0.25">
      <c r="A207" s="1">
        <f>Data!A207</f>
        <v>69</v>
      </c>
      <c r="B207" s="1">
        <f>Data!B207</f>
        <v>3</v>
      </c>
      <c r="C207" s="1" t="str">
        <f>IF(B207='Statistical Insight'!$A$5,A207," ")</f>
        <v xml:space="preserve"> </v>
      </c>
    </row>
    <row r="208" spans="1:3" x14ac:dyDescent="0.25">
      <c r="A208" s="1">
        <f>Data!A208</f>
        <v>21</v>
      </c>
      <c r="B208" s="1">
        <f>Data!B208</f>
        <v>1</v>
      </c>
      <c r="C208" s="1" t="str">
        <f>IF(B208='Statistical Insight'!$A$5,A208," ")</f>
        <v xml:space="preserve"> </v>
      </c>
    </row>
    <row r="209" spans="1:3" x14ac:dyDescent="0.25">
      <c r="A209" s="1">
        <f>Data!A209</f>
        <v>56</v>
      </c>
      <c r="B209" s="1">
        <f>Data!B209</f>
        <v>4</v>
      </c>
      <c r="C209" s="1" t="str">
        <f>IF(B209='Statistical Insight'!$A$5,A209," ")</f>
        <v xml:space="preserve"> </v>
      </c>
    </row>
    <row r="210" spans="1:3" x14ac:dyDescent="0.25">
      <c r="A210" s="1">
        <f>Data!A210</f>
        <v>30</v>
      </c>
      <c r="B210" s="1">
        <f>Data!B210</f>
        <v>4</v>
      </c>
      <c r="C210" s="1" t="str">
        <f>IF(B210='Statistical Insight'!$A$5,A210," ")</f>
        <v xml:space="preserve"> </v>
      </c>
    </row>
    <row r="211" spans="1:3" x14ac:dyDescent="0.25">
      <c r="A211" s="1">
        <f>Data!A211</f>
        <v>22</v>
      </c>
      <c r="B211" s="1">
        <f>Data!B211</f>
        <v>3</v>
      </c>
      <c r="C211" s="1" t="str">
        <f>IF(B211='Statistical Insight'!$A$5,A211," ")</f>
        <v xml:space="preserve"> </v>
      </c>
    </row>
    <row r="212" spans="1:3" x14ac:dyDescent="0.25">
      <c r="A212" s="1">
        <f>Data!A212</f>
        <v>36</v>
      </c>
      <c r="B212" s="1">
        <f>Data!B212</f>
        <v>1</v>
      </c>
      <c r="C212" s="1" t="str">
        <f>IF(B212='Statistical Insight'!$A$5,A212," ")</f>
        <v xml:space="preserve"> </v>
      </c>
    </row>
    <row r="213" spans="1:3" x14ac:dyDescent="0.25">
      <c r="A213" s="1">
        <f>Data!A213</f>
        <v>24</v>
      </c>
      <c r="B213" s="1">
        <f>Data!B213</f>
        <v>2</v>
      </c>
      <c r="C213" s="1">
        <f>IF(B213='Statistical Insight'!$A$5,A213," ")</f>
        <v>24</v>
      </c>
    </row>
    <row r="214" spans="1:3" x14ac:dyDescent="0.25">
      <c r="A214" s="1">
        <f>Data!A214</f>
        <v>75</v>
      </c>
      <c r="B214" s="1">
        <f>Data!B214</f>
        <v>2</v>
      </c>
      <c r="C214" s="1">
        <f>IF(B214='Statistical Insight'!$A$5,A214," ")</f>
        <v>75</v>
      </c>
    </row>
    <row r="215" spans="1:3" x14ac:dyDescent="0.25">
      <c r="A215" s="1">
        <f>Data!A215</f>
        <v>32</v>
      </c>
      <c r="B215" s="1">
        <f>Data!B215</f>
        <v>4</v>
      </c>
      <c r="C215" s="1" t="str">
        <f>IF(B215='Statistical Insight'!$A$5,A215," ")</f>
        <v xml:space="preserve"> </v>
      </c>
    </row>
    <row r="216" spans="1:3" x14ac:dyDescent="0.25">
      <c r="A216" s="1">
        <f>Data!A216</f>
        <v>55</v>
      </c>
      <c r="B216" s="1">
        <f>Data!B216</f>
        <v>2</v>
      </c>
      <c r="C216" s="1">
        <f>IF(B216='Statistical Insight'!$A$5,A216," ")</f>
        <v>55</v>
      </c>
    </row>
    <row r="217" spans="1:3" x14ac:dyDescent="0.25">
      <c r="A217" s="1">
        <f>Data!A217</f>
        <v>23</v>
      </c>
      <c r="B217" s="1">
        <f>Data!B217</f>
        <v>3</v>
      </c>
      <c r="C217" s="1" t="str">
        <f>IF(B217='Statistical Insight'!$A$5,A217," ")</f>
        <v xml:space="preserve"> </v>
      </c>
    </row>
    <row r="218" spans="1:3" x14ac:dyDescent="0.25">
      <c r="A218" s="1">
        <f>Data!A218</f>
        <v>66</v>
      </c>
      <c r="B218" s="1">
        <f>Data!B218</f>
        <v>3</v>
      </c>
      <c r="C218" s="1" t="str">
        <f>IF(B218='Statistical Insight'!$A$5,A218," ")</f>
        <v xml:space="preserve"> </v>
      </c>
    </row>
    <row r="219" spans="1:3" x14ac:dyDescent="0.25">
      <c r="A219" s="1">
        <f>Data!A219</f>
        <v>52</v>
      </c>
      <c r="B219" s="1">
        <f>Data!B219</f>
        <v>2</v>
      </c>
      <c r="C219" s="1">
        <f>IF(B219='Statistical Insight'!$A$5,A219," ")</f>
        <v>52</v>
      </c>
    </row>
    <row r="220" spans="1:3" x14ac:dyDescent="0.25">
      <c r="A220" s="1">
        <f>Data!A220</f>
        <v>48</v>
      </c>
      <c r="B220" s="1">
        <f>Data!B220</f>
        <v>4</v>
      </c>
      <c r="C220" s="1" t="str">
        <f>IF(B220='Statistical Insight'!$A$5,A220," ")</f>
        <v xml:space="preserve"> </v>
      </c>
    </row>
    <row r="221" spans="1:3" x14ac:dyDescent="0.25">
      <c r="A221" s="1">
        <f>Data!A221</f>
        <v>39</v>
      </c>
      <c r="B221" s="1">
        <f>Data!B221</f>
        <v>1</v>
      </c>
      <c r="C221" s="1" t="str">
        <f>IF(B221='Statistical Insight'!$A$5,A221," ")</f>
        <v xml:space="preserve"> </v>
      </c>
    </row>
    <row r="222" spans="1:3" x14ac:dyDescent="0.25">
      <c r="A222" s="1">
        <f>Data!A222</f>
        <v>57</v>
      </c>
      <c r="B222" s="1">
        <f>Data!B222</f>
        <v>2</v>
      </c>
      <c r="C222" s="1">
        <f>IF(B222='Statistical Insight'!$A$5,A222," ")</f>
        <v>57</v>
      </c>
    </row>
    <row r="223" spans="1:3" x14ac:dyDescent="0.25">
      <c r="A223" s="1">
        <f>Data!A223</f>
        <v>70</v>
      </c>
      <c r="B223" s="1">
        <f>Data!B223</f>
        <v>3</v>
      </c>
      <c r="C223" s="1" t="str">
        <f>IF(B223='Statistical Insight'!$A$5,A223," ")</f>
        <v xml:space="preserve"> </v>
      </c>
    </row>
    <row r="224" spans="1:3" x14ac:dyDescent="0.25">
      <c r="A224" s="1">
        <f>Data!A224</f>
        <v>71</v>
      </c>
      <c r="B224" s="1">
        <f>Data!B224</f>
        <v>4</v>
      </c>
      <c r="C224" s="1" t="str">
        <f>IF(B224='Statistical Insight'!$A$5,A224," ")</f>
        <v xml:space="preserve"> </v>
      </c>
    </row>
    <row r="225" spans="1:3" x14ac:dyDescent="0.25">
      <c r="A225" s="1">
        <f>Data!A225</f>
        <v>39</v>
      </c>
      <c r="B225" s="1">
        <f>Data!B225</f>
        <v>2</v>
      </c>
      <c r="C225" s="1">
        <f>IF(B225='Statistical Insight'!$A$5,A225," ")</f>
        <v>39</v>
      </c>
    </row>
    <row r="226" spans="1:3" x14ac:dyDescent="0.25">
      <c r="A226" s="1">
        <f>Data!A226</f>
        <v>40</v>
      </c>
      <c r="B226" s="1">
        <f>Data!B226</f>
        <v>2</v>
      </c>
      <c r="C226" s="1">
        <f>IF(B226='Statistical Insight'!$A$5,A226," ")</f>
        <v>40</v>
      </c>
    </row>
    <row r="227" spans="1:3" x14ac:dyDescent="0.25">
      <c r="A227" s="1">
        <f>Data!A227</f>
        <v>29</v>
      </c>
      <c r="B227" s="1">
        <f>Data!B227</f>
        <v>1</v>
      </c>
      <c r="C227" s="1" t="str">
        <f>IF(B227='Statistical Insight'!$A$5,A227," ")</f>
        <v xml:space="preserve"> </v>
      </c>
    </row>
    <row r="228" spans="1:3" x14ac:dyDescent="0.25">
      <c r="A228" s="1">
        <f>Data!A228</f>
        <v>22</v>
      </c>
      <c r="B228" s="1">
        <f>Data!B228</f>
        <v>3</v>
      </c>
      <c r="C228" s="1" t="str">
        <f>IF(B228='Statistical Insight'!$A$5,A228," ")</f>
        <v xml:space="preserve"> </v>
      </c>
    </row>
    <row r="229" spans="1:3" x14ac:dyDescent="0.25">
      <c r="A229" s="1">
        <f>Data!A229</f>
        <v>64</v>
      </c>
      <c r="B229" s="1">
        <f>Data!B229</f>
        <v>4</v>
      </c>
      <c r="C229" s="1" t="str">
        <f>IF(B229='Statistical Insight'!$A$5,A229," ")</f>
        <v xml:space="preserve"> </v>
      </c>
    </row>
    <row r="230" spans="1:3" x14ac:dyDescent="0.25">
      <c r="A230" s="1">
        <f>Data!A230</f>
        <v>36</v>
      </c>
      <c r="B230" s="1">
        <f>Data!B230</f>
        <v>4</v>
      </c>
      <c r="C230" s="1" t="str">
        <f>IF(B230='Statistical Insight'!$A$5,A230," ")</f>
        <v xml:space="preserve"> </v>
      </c>
    </row>
    <row r="231" spans="1:3" x14ac:dyDescent="0.25">
      <c r="A231" s="1">
        <f>Data!A231</f>
        <v>66</v>
      </c>
      <c r="B231" s="1">
        <f>Data!B231</f>
        <v>2</v>
      </c>
      <c r="C231" s="1">
        <f>IF(B231='Statistical Insight'!$A$5,A231," ")</f>
        <v>66</v>
      </c>
    </row>
    <row r="232" spans="1:3" x14ac:dyDescent="0.25">
      <c r="A232" s="1">
        <f>Data!A232</f>
        <v>51</v>
      </c>
      <c r="B232" s="1">
        <f>Data!B232</f>
        <v>4</v>
      </c>
      <c r="C232" s="1" t="str">
        <f>IF(B232='Statistical Insight'!$A$5,A232," ")</f>
        <v xml:space="preserve"> </v>
      </c>
    </row>
    <row r="233" spans="1:3" x14ac:dyDescent="0.25">
      <c r="A233" s="1">
        <f>Data!A233</f>
        <v>47</v>
      </c>
      <c r="B233" s="1">
        <f>Data!B233</f>
        <v>4</v>
      </c>
      <c r="C233" s="1" t="str">
        <f>IF(B233='Statistical Insight'!$A$5,A233," ")</f>
        <v xml:space="preserve"> </v>
      </c>
    </row>
    <row r="234" spans="1:3" x14ac:dyDescent="0.25">
      <c r="A234" s="1">
        <f>Data!A234</f>
        <v>49</v>
      </c>
      <c r="B234" s="1">
        <f>Data!B234</f>
        <v>4</v>
      </c>
      <c r="C234" s="1" t="str">
        <f>IF(B234='Statistical Insight'!$A$5,A234," ")</f>
        <v xml:space="preserve"> </v>
      </c>
    </row>
    <row r="235" spans="1:3" x14ac:dyDescent="0.25">
      <c r="A235" s="1">
        <f>Data!A235</f>
        <v>24</v>
      </c>
      <c r="B235" s="1">
        <f>Data!B235</f>
        <v>2</v>
      </c>
      <c r="C235" s="1">
        <f>IF(B235='Statistical Insight'!$A$5,A235," ")</f>
        <v>24</v>
      </c>
    </row>
    <row r="236" spans="1:3" x14ac:dyDescent="0.25">
      <c r="A236" s="1">
        <f>Data!A236</f>
        <v>74</v>
      </c>
      <c r="B236" s="1">
        <f>Data!B236</f>
        <v>2</v>
      </c>
      <c r="C236" s="1">
        <f>IF(B236='Statistical Insight'!$A$5,A236," ")</f>
        <v>74</v>
      </c>
    </row>
    <row r="237" spans="1:3" x14ac:dyDescent="0.25">
      <c r="A237" s="1">
        <f>Data!A237</f>
        <v>26</v>
      </c>
      <c r="B237" s="1">
        <f>Data!B237</f>
        <v>2</v>
      </c>
      <c r="C237" s="1">
        <f>IF(B237='Statistical Insight'!$A$5,A237," ")</f>
        <v>26</v>
      </c>
    </row>
    <row r="238" spans="1:3" x14ac:dyDescent="0.25">
      <c r="A238" s="1">
        <f>Data!A238</f>
        <v>32</v>
      </c>
      <c r="B238" s="1">
        <f>Data!B238</f>
        <v>2</v>
      </c>
      <c r="C238" s="1">
        <f>IF(B238='Statistical Insight'!$A$5,A238," ")</f>
        <v>32</v>
      </c>
    </row>
    <row r="239" spans="1:3" x14ac:dyDescent="0.25">
      <c r="A239" s="1">
        <f>Data!A239</f>
        <v>25</v>
      </c>
      <c r="B239" s="1">
        <f>Data!B239</f>
        <v>3</v>
      </c>
      <c r="C239" s="1" t="str">
        <f>IF(B239='Statistical Insight'!$A$5,A239," ")</f>
        <v xml:space="preserve"> </v>
      </c>
    </row>
    <row r="240" spans="1:3" x14ac:dyDescent="0.25">
      <c r="A240" s="1">
        <f>Data!A240</f>
        <v>23</v>
      </c>
      <c r="B240" s="1">
        <f>Data!B240</f>
        <v>3</v>
      </c>
      <c r="C240" s="1" t="str">
        <f>IF(B240='Statistical Insight'!$A$5,A240," ")</f>
        <v xml:space="preserve"> </v>
      </c>
    </row>
    <row r="241" spans="1:3" x14ac:dyDescent="0.25">
      <c r="A241" s="1">
        <f>Data!A241</f>
        <v>44</v>
      </c>
      <c r="B241" s="1">
        <f>Data!B241</f>
        <v>1</v>
      </c>
      <c r="C241" s="1" t="str">
        <f>IF(B241='Statistical Insight'!$A$5,A241," ")</f>
        <v xml:space="preserve"> </v>
      </c>
    </row>
    <row r="242" spans="1:3" x14ac:dyDescent="0.25">
      <c r="A242" s="1">
        <f>Data!A242</f>
        <v>75</v>
      </c>
      <c r="B242" s="1">
        <f>Data!B242</f>
        <v>4</v>
      </c>
      <c r="C242" s="1" t="str">
        <f>IF(B242='Statistical Insight'!$A$5,A242," ")</f>
        <v xml:space="preserve"> </v>
      </c>
    </row>
    <row r="243" spans="1:3" x14ac:dyDescent="0.25">
      <c r="A243" s="1">
        <f>Data!A243</f>
        <v>39</v>
      </c>
      <c r="B243" s="1">
        <f>Data!B243</f>
        <v>4</v>
      </c>
      <c r="C243" s="1" t="str">
        <f>IF(B243='Statistical Insight'!$A$5,A243," ")</f>
        <v xml:space="preserve"> </v>
      </c>
    </row>
    <row r="244" spans="1:3" x14ac:dyDescent="0.25">
      <c r="A244" s="1">
        <f>Data!A244</f>
        <v>63</v>
      </c>
      <c r="B244" s="1">
        <f>Data!B244</f>
        <v>4</v>
      </c>
      <c r="C244" s="1" t="str">
        <f>IF(B244='Statistical Insight'!$A$5,A244," ")</f>
        <v xml:space="preserve"> </v>
      </c>
    </row>
    <row r="245" spans="1:3" x14ac:dyDescent="0.25">
      <c r="A245" s="1">
        <f>Data!A245</f>
        <v>53</v>
      </c>
      <c r="B245" s="1">
        <f>Data!B245</f>
        <v>4</v>
      </c>
      <c r="C245" s="1" t="str">
        <f>IF(B245='Statistical Insight'!$A$5,A245," ")</f>
        <v xml:space="preserve"> </v>
      </c>
    </row>
    <row r="246" spans="1:3" x14ac:dyDescent="0.25">
      <c r="A246" s="1">
        <f>Data!A246</f>
        <v>88</v>
      </c>
      <c r="B246" s="1">
        <f>Data!B246</f>
        <v>2</v>
      </c>
      <c r="C246" s="1">
        <f>IF(B246='Statistical Insight'!$A$5,A246," ")</f>
        <v>88</v>
      </c>
    </row>
    <row r="247" spans="1:3" x14ac:dyDescent="0.25">
      <c r="A247" s="1">
        <f>Data!A247</f>
        <v>36</v>
      </c>
      <c r="B247" s="1">
        <f>Data!B247</f>
        <v>4</v>
      </c>
      <c r="C247" s="1" t="str">
        <f>IF(B247='Statistical Insight'!$A$5,A247," ")</f>
        <v xml:space="preserve"> </v>
      </c>
    </row>
    <row r="248" spans="1:3" x14ac:dyDescent="0.25">
      <c r="A248" s="1">
        <f>Data!A248</f>
        <v>53</v>
      </c>
      <c r="B248" s="1">
        <f>Data!B248</f>
        <v>2</v>
      </c>
      <c r="C248" s="1">
        <f>IF(B248='Statistical Insight'!$A$5,A248," ")</f>
        <v>53</v>
      </c>
    </row>
    <row r="249" spans="1:3" x14ac:dyDescent="0.25">
      <c r="A249" s="1">
        <f>Data!A249</f>
        <v>57</v>
      </c>
      <c r="B249" s="1">
        <f>Data!B249</f>
        <v>3</v>
      </c>
      <c r="C249" s="1" t="str">
        <f>IF(B249='Statistical Insight'!$A$5,A249," ")</f>
        <v xml:space="preserve"> </v>
      </c>
    </row>
    <row r="250" spans="1:3" x14ac:dyDescent="0.25">
      <c r="A250" s="1">
        <f>Data!A250</f>
        <v>50</v>
      </c>
      <c r="B250" s="1">
        <f>Data!B250</f>
        <v>4</v>
      </c>
      <c r="C250" s="1" t="str">
        <f>IF(B250='Statistical Insight'!$A$5,A250," ")</f>
        <v xml:space="preserve"> </v>
      </c>
    </row>
    <row r="251" spans="1:3" x14ac:dyDescent="0.25">
      <c r="A251" s="1">
        <f>Data!A251</f>
        <v>37</v>
      </c>
      <c r="B251" s="1">
        <f>Data!B251</f>
        <v>3</v>
      </c>
      <c r="C251" s="1" t="str">
        <f>IF(B251='Statistical Insight'!$A$5,A251," ")</f>
        <v xml:space="preserve"> </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B70EF-FC82-4A48-9134-5D4B84F305FC}">
  <sheetPr codeName="Foglio5">
    <tabColor rgb="FFFF0000"/>
  </sheetPr>
  <dimension ref="A1:M19"/>
  <sheetViews>
    <sheetView showGridLines="0" tabSelected="1" workbookViewId="0">
      <selection activeCell="A5" sqref="A5"/>
    </sheetView>
  </sheetViews>
  <sheetFormatPr defaultRowHeight="15" x14ac:dyDescent="0.25"/>
  <cols>
    <col min="1" max="1" width="28.140625" bestFit="1" customWidth="1"/>
    <col min="2" max="2" width="21.140625" bestFit="1" customWidth="1"/>
    <col min="3" max="3" width="22" bestFit="1" customWidth="1"/>
    <col min="4" max="4" width="24.42578125" bestFit="1" customWidth="1"/>
    <col min="5" max="5" width="37.85546875" bestFit="1" customWidth="1"/>
    <col min="6" max="6" width="19.5703125" bestFit="1" customWidth="1"/>
    <col min="7" max="7" width="18.7109375" bestFit="1" customWidth="1"/>
    <col min="8" max="8" width="13" bestFit="1" customWidth="1"/>
    <col min="9" max="9" width="6" bestFit="1" customWidth="1"/>
    <col min="10" max="10" width="4.5703125" bestFit="1" customWidth="1"/>
    <col min="11" max="11" width="18.5703125" bestFit="1" customWidth="1"/>
    <col min="12" max="12" width="19.28515625" bestFit="1" customWidth="1"/>
    <col min="13" max="13" width="12.28515625" customWidth="1"/>
    <col min="14" max="14" width="20" bestFit="1" customWidth="1"/>
  </cols>
  <sheetData>
    <row r="1" spans="1:13" ht="21" thickTop="1" thickBot="1" x14ac:dyDescent="0.45">
      <c r="A1" s="4" t="s">
        <v>7</v>
      </c>
      <c r="B1" s="4" t="s">
        <v>18</v>
      </c>
      <c r="C1" s="4" t="s">
        <v>6</v>
      </c>
      <c r="D1" s="4" t="s">
        <v>16</v>
      </c>
      <c r="E1" s="4" t="s">
        <v>17</v>
      </c>
      <c r="F1" s="4" t="s">
        <v>8</v>
      </c>
      <c r="G1" s="4" t="s">
        <v>9</v>
      </c>
      <c r="H1" s="4" t="s">
        <v>10</v>
      </c>
      <c r="I1" s="4" t="s">
        <v>11</v>
      </c>
      <c r="J1" s="4" t="s">
        <v>15</v>
      </c>
      <c r="K1" s="4" t="s">
        <v>12</v>
      </c>
      <c r="L1" s="4" t="s">
        <v>13</v>
      </c>
      <c r="M1" s="4" t="s">
        <v>19</v>
      </c>
    </row>
    <row r="2" spans="1:13" ht="15.75" thickTop="1" x14ac:dyDescent="0.25">
      <c r="A2" s="1">
        <f>COUNT(Sample_filter!A:A)</f>
        <v>58</v>
      </c>
      <c r="B2" s="1">
        <f>AVERAGE(Parameters!B:B)</f>
        <v>46.92</v>
      </c>
      <c r="C2" s="7">
        <f>AVERAGE(Sample_filter!A:A)</f>
        <v>45.03448275862069</v>
      </c>
      <c r="D2" s="7">
        <f>_xlfn.VAR.P(Parameters!B:B)</f>
        <v>395.40159999999997</v>
      </c>
      <c r="E2" s="7">
        <f>SQRT(D2)</f>
        <v>19.884707692093439</v>
      </c>
      <c r="F2" s="7">
        <f>E2/SQRT(A2)</f>
        <v>2.6109900355070756</v>
      </c>
      <c r="G2" s="1">
        <f>A2-1</f>
        <v>57</v>
      </c>
      <c r="H2" s="1">
        <v>0.95</v>
      </c>
      <c r="I2" s="1">
        <v>0.05</v>
      </c>
      <c r="J2" s="7">
        <f>_xlfn.NORM.S.INV(1-I2/2)</f>
        <v>1.9599639845400536</v>
      </c>
      <c r="K2" s="7">
        <f>C2-J2*F2</f>
        <v>39.917036325033862</v>
      </c>
      <c r="L2" s="7">
        <f>C2+J2*F2</f>
        <v>50.151929192207518</v>
      </c>
      <c r="M2" s="7">
        <f>(B2-C2)/F2</f>
        <v>0.72214647154451073</v>
      </c>
    </row>
    <row r="3" spans="1:13" ht="15.75" thickBot="1" x14ac:dyDescent="0.3"/>
    <row r="4" spans="1:13" ht="21" thickTop="1" thickBot="1" x14ac:dyDescent="0.45">
      <c r="A4" s="4" t="s">
        <v>14</v>
      </c>
    </row>
    <row r="5" spans="1:13" ht="15.75" thickTop="1" x14ac:dyDescent="0.25">
      <c r="A5" s="11">
        <v>2</v>
      </c>
    </row>
    <row r="6" spans="1:13" x14ac:dyDescent="0.25">
      <c r="A6" s="14"/>
    </row>
    <row r="7" spans="1:13" x14ac:dyDescent="0.25">
      <c r="A7" s="14"/>
    </row>
    <row r="9" spans="1:13" ht="26.25" customHeight="1" x14ac:dyDescent="0.25">
      <c r="B9" s="31" t="str" cm="1">
        <f t="array" ref="B9">_xlfn._xlws.FILTER('Annotazioni statistiche'!B1:B4,'Annotazioni statistiche'!A1:A4=A5)</f>
        <v>Campione 2
La deviazione standard della popolazione è di 19,88, questo indica una moderata dispersione dei dati rispetto alla media. La media campionaria e di  45,03. Rispetto alla media della popolazione (46,92) la differenza è di 1,87 punti, inferiore all'errore standard. L'intervallo di confidenza del 95% della popolazione va da 39,92 al 50,15. Questo conferma che la stima campionaria è affidabile e rappresentativa della popolazione. il test Z restituisce 0,72, inferiore al valore critico di 1,96, il che implica che non è vi è evidenza statistica per rifiutare l'ipotesi nulla. la media del campione non differisce significativamente dalla media della popolazione.</v>
      </c>
      <c r="C9" s="31"/>
      <c r="D9" s="31"/>
    </row>
    <row r="10" spans="1:13" x14ac:dyDescent="0.25">
      <c r="A10" s="13"/>
      <c r="B10" s="31"/>
      <c r="C10" s="31"/>
      <c r="D10" s="31"/>
    </row>
    <row r="11" spans="1:13" x14ac:dyDescent="0.25">
      <c r="A11" s="13"/>
      <c r="B11" s="31"/>
      <c r="C11" s="31"/>
      <c r="D11" s="31"/>
    </row>
    <row r="12" spans="1:13" x14ac:dyDescent="0.25">
      <c r="A12" s="13"/>
      <c r="B12" s="31"/>
      <c r="C12" s="31"/>
      <c r="D12" s="31"/>
    </row>
    <row r="13" spans="1:13" x14ac:dyDescent="0.25">
      <c r="A13" s="13"/>
      <c r="B13" s="31"/>
      <c r="C13" s="31"/>
      <c r="D13" s="31"/>
    </row>
    <row r="14" spans="1:13" x14ac:dyDescent="0.25">
      <c r="A14" s="13"/>
      <c r="B14" s="31"/>
      <c r="C14" s="31"/>
      <c r="D14" s="31"/>
    </row>
    <row r="15" spans="1:13" x14ac:dyDescent="0.25">
      <c r="A15" s="13"/>
      <c r="B15" s="31"/>
      <c r="C15" s="31"/>
      <c r="D15" s="31"/>
    </row>
    <row r="16" spans="1:13" x14ac:dyDescent="0.25">
      <c r="A16" s="13"/>
      <c r="B16" s="31"/>
      <c r="C16" s="31"/>
      <c r="D16" s="31"/>
      <c r="F16" s="8"/>
      <c r="G16" s="8"/>
    </row>
    <row r="17" spans="1:4" x14ac:dyDescent="0.25">
      <c r="A17" s="13"/>
      <c r="B17" s="31"/>
      <c r="C17" s="31"/>
      <c r="D17" s="31"/>
    </row>
    <row r="18" spans="1:4" x14ac:dyDescent="0.25">
      <c r="A18" s="13"/>
      <c r="B18" s="31"/>
      <c r="C18" s="31"/>
      <c r="D18" s="31"/>
    </row>
    <row r="19" spans="1:4" x14ac:dyDescent="0.25">
      <c r="B19" s="31"/>
      <c r="C19" s="31"/>
      <c r="D19" s="31"/>
    </row>
  </sheetData>
  <mergeCells count="1">
    <mergeCell ref="B9:D19"/>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C494014-29A8-47AF-8BBF-75DD95D27C78}">
          <x14:formula1>
            <xm:f>Sample_filter!$AC$1:$AC$4</xm:f>
          </x14:formula1>
          <xm:sqref>A5:A7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D37D6-A999-4EB2-8AAC-7273226A511A}">
  <sheetPr codeName="Foglio6">
    <tabColor theme="5" tint="0.39997558519241921"/>
  </sheetPr>
  <dimension ref="A1:F67"/>
  <sheetViews>
    <sheetView showGridLines="0" topLeftCell="A44" workbookViewId="0">
      <selection activeCell="G33" sqref="G33"/>
    </sheetView>
  </sheetViews>
  <sheetFormatPr defaultRowHeight="15" x14ac:dyDescent="0.25"/>
  <cols>
    <col min="1" max="1" width="21.85546875" bestFit="1" customWidth="1"/>
    <col min="2" max="2" width="16.140625" bestFit="1" customWidth="1"/>
    <col min="3" max="3" width="14.7109375" bestFit="1" customWidth="1"/>
    <col min="4" max="4" width="8.85546875" bestFit="1" customWidth="1"/>
    <col min="5" max="5" width="28.28515625" bestFit="1" customWidth="1"/>
    <col min="6" max="6" width="68.85546875" customWidth="1"/>
    <col min="7" max="7" width="69.140625" bestFit="1" customWidth="1"/>
  </cols>
  <sheetData>
    <row r="1" spans="1:6" ht="21" thickTop="1" thickBot="1" x14ac:dyDescent="0.45">
      <c r="A1" s="5" t="s">
        <v>22</v>
      </c>
      <c r="B1" s="5" t="s">
        <v>21</v>
      </c>
      <c r="C1" s="5" t="s">
        <v>20</v>
      </c>
      <c r="D1" s="5" t="s">
        <v>2</v>
      </c>
      <c r="F1" s="15" t="s">
        <v>23</v>
      </c>
    </row>
    <row r="2" spans="1:6" ht="15.75" thickTop="1" x14ac:dyDescent="0.25">
      <c r="A2" s="1">
        <v>68</v>
      </c>
      <c r="B2" s="1">
        <v>0</v>
      </c>
      <c r="C2" s="1">
        <v>67</v>
      </c>
      <c r="D2" s="1">
        <v>3</v>
      </c>
      <c r="F2" s="2">
        <f>PEARSON(A2:A67,C2:C67)</f>
        <v>0.39862289620060681</v>
      </c>
    </row>
    <row r="3" spans="1:6" x14ac:dyDescent="0.25">
      <c r="A3" s="1">
        <v>28</v>
      </c>
      <c r="B3" s="1">
        <v>1</v>
      </c>
      <c r="C3" s="1">
        <v>32</v>
      </c>
      <c r="D3" s="1">
        <v>3</v>
      </c>
    </row>
    <row r="4" spans="1:6" x14ac:dyDescent="0.25">
      <c r="A4" s="1">
        <v>44</v>
      </c>
      <c r="B4" s="1">
        <v>3</v>
      </c>
      <c r="C4" s="1">
        <v>44</v>
      </c>
      <c r="D4" s="1">
        <v>3</v>
      </c>
    </row>
    <row r="5" spans="1:6" x14ac:dyDescent="0.25">
      <c r="A5" s="1">
        <v>67</v>
      </c>
      <c r="B5" s="1">
        <v>3</v>
      </c>
      <c r="C5" s="1">
        <v>68</v>
      </c>
      <c r="D5" s="1">
        <v>3</v>
      </c>
    </row>
    <row r="6" spans="1:6" x14ac:dyDescent="0.25">
      <c r="A6" s="1">
        <v>33</v>
      </c>
      <c r="B6" s="1">
        <v>2</v>
      </c>
      <c r="C6" s="1">
        <v>32</v>
      </c>
      <c r="D6" s="1">
        <v>3</v>
      </c>
      <c r="F6" s="16"/>
    </row>
    <row r="7" spans="1:6" x14ac:dyDescent="0.25">
      <c r="A7" s="1">
        <v>40</v>
      </c>
      <c r="B7" s="1">
        <v>3</v>
      </c>
      <c r="C7" s="1">
        <v>43</v>
      </c>
      <c r="D7" s="1">
        <v>3</v>
      </c>
    </row>
    <row r="8" spans="1:6" x14ac:dyDescent="0.25">
      <c r="A8" s="1">
        <v>71</v>
      </c>
      <c r="B8" s="1">
        <v>0</v>
      </c>
      <c r="C8" s="1">
        <v>70</v>
      </c>
      <c r="D8" s="1">
        <v>3</v>
      </c>
    </row>
    <row r="9" spans="1:6" x14ac:dyDescent="0.25">
      <c r="A9" s="1">
        <v>60</v>
      </c>
      <c r="B9" s="1">
        <v>2</v>
      </c>
      <c r="C9" s="1">
        <v>57</v>
      </c>
      <c r="D9" s="1">
        <v>3</v>
      </c>
    </row>
    <row r="10" spans="1:6" x14ac:dyDescent="0.25">
      <c r="A10" s="1">
        <v>64</v>
      </c>
      <c r="B10" s="1">
        <v>2</v>
      </c>
      <c r="C10" s="1">
        <v>62</v>
      </c>
      <c r="D10" s="1">
        <v>3</v>
      </c>
    </row>
    <row r="11" spans="1:6" x14ac:dyDescent="0.25">
      <c r="A11" s="1">
        <v>42</v>
      </c>
      <c r="B11" s="1">
        <v>1</v>
      </c>
      <c r="C11" s="1">
        <v>41</v>
      </c>
      <c r="D11" s="1">
        <v>3</v>
      </c>
    </row>
    <row r="12" spans="1:6" x14ac:dyDescent="0.25">
      <c r="A12" s="1">
        <v>53</v>
      </c>
      <c r="B12" s="1">
        <v>3</v>
      </c>
      <c r="C12" s="1">
        <v>52</v>
      </c>
      <c r="D12" s="1">
        <v>3</v>
      </c>
    </row>
    <row r="13" spans="1:6" x14ac:dyDescent="0.25">
      <c r="A13" s="1">
        <v>46</v>
      </c>
      <c r="B13" s="1">
        <v>1</v>
      </c>
      <c r="C13" s="1">
        <v>48</v>
      </c>
      <c r="D13" s="1">
        <v>3</v>
      </c>
    </row>
    <row r="14" spans="1:6" x14ac:dyDescent="0.25">
      <c r="A14" s="1">
        <v>60</v>
      </c>
      <c r="B14" s="1">
        <v>2</v>
      </c>
      <c r="C14" s="1">
        <v>57</v>
      </c>
      <c r="D14" s="1">
        <v>3</v>
      </c>
    </row>
    <row r="15" spans="1:6" x14ac:dyDescent="0.25">
      <c r="A15" s="1">
        <v>43</v>
      </c>
      <c r="B15" s="1">
        <v>2</v>
      </c>
      <c r="C15" s="1">
        <v>42</v>
      </c>
      <c r="D15" s="1">
        <v>3</v>
      </c>
    </row>
    <row r="16" spans="1:6" x14ac:dyDescent="0.25">
      <c r="A16" s="1">
        <v>62</v>
      </c>
      <c r="B16" s="1">
        <v>2</v>
      </c>
      <c r="C16" s="1">
        <v>61</v>
      </c>
      <c r="D16" s="1">
        <v>3</v>
      </c>
    </row>
    <row r="17" spans="1:6" x14ac:dyDescent="0.25">
      <c r="A17" s="1">
        <v>49</v>
      </c>
      <c r="B17" s="1">
        <v>1</v>
      </c>
      <c r="C17" s="1">
        <v>52</v>
      </c>
      <c r="D17" s="1">
        <v>3</v>
      </c>
    </row>
    <row r="18" spans="1:6" ht="15.75" thickBot="1" x14ac:dyDescent="0.3">
      <c r="A18" s="1">
        <v>50</v>
      </c>
      <c r="B18" s="1">
        <v>0</v>
      </c>
      <c r="C18" s="1">
        <v>47</v>
      </c>
      <c r="D18" s="1">
        <v>3</v>
      </c>
    </row>
    <row r="19" spans="1:6" ht="20.25" thickTop="1" x14ac:dyDescent="0.4">
      <c r="A19" s="1">
        <v>36</v>
      </c>
      <c r="B19" s="1">
        <v>2</v>
      </c>
      <c r="C19" s="1">
        <v>36</v>
      </c>
      <c r="D19" s="1">
        <v>3</v>
      </c>
      <c r="F19" s="17" t="s">
        <v>24</v>
      </c>
    </row>
    <row r="20" spans="1:6" x14ac:dyDescent="0.25">
      <c r="A20" s="1">
        <v>31</v>
      </c>
      <c r="B20" s="1">
        <v>1</v>
      </c>
      <c r="C20" s="1">
        <v>30</v>
      </c>
      <c r="D20" s="1">
        <v>3</v>
      </c>
      <c r="F20" s="2">
        <f>PEARSON(A2:A67,B2:B67)</f>
        <v>-0.25900960942634876</v>
      </c>
    </row>
    <row r="21" spans="1:6" x14ac:dyDescent="0.25">
      <c r="A21" s="1">
        <v>70</v>
      </c>
      <c r="B21" s="1">
        <v>3</v>
      </c>
      <c r="C21" s="1">
        <v>68</v>
      </c>
      <c r="D21" s="1">
        <v>3</v>
      </c>
    </row>
    <row r="22" spans="1:6" x14ac:dyDescent="0.25">
      <c r="A22" s="1">
        <v>73</v>
      </c>
      <c r="B22" s="1">
        <v>0</v>
      </c>
      <c r="C22" s="1">
        <v>75</v>
      </c>
      <c r="D22" s="1">
        <v>3</v>
      </c>
    </row>
    <row r="23" spans="1:6" x14ac:dyDescent="0.25">
      <c r="A23" s="1">
        <v>46</v>
      </c>
      <c r="B23" s="1">
        <v>2</v>
      </c>
      <c r="C23" s="1">
        <v>44</v>
      </c>
      <c r="D23" s="1">
        <v>3</v>
      </c>
    </row>
    <row r="24" spans="1:6" x14ac:dyDescent="0.25">
      <c r="A24" s="1">
        <v>26</v>
      </c>
      <c r="B24" s="1">
        <v>1</v>
      </c>
      <c r="C24" s="1">
        <v>25</v>
      </c>
      <c r="D24" s="1">
        <v>3</v>
      </c>
    </row>
    <row r="25" spans="1:6" x14ac:dyDescent="0.25">
      <c r="A25" s="1">
        <v>54</v>
      </c>
      <c r="B25" s="1">
        <v>3</v>
      </c>
      <c r="C25" s="1">
        <v>32</v>
      </c>
      <c r="D25" s="1">
        <v>3</v>
      </c>
    </row>
    <row r="26" spans="1:6" x14ac:dyDescent="0.25">
      <c r="A26" s="1">
        <v>35</v>
      </c>
      <c r="B26" s="1">
        <v>3</v>
      </c>
      <c r="C26" s="1">
        <v>67</v>
      </c>
      <c r="D26" s="1">
        <v>3</v>
      </c>
    </row>
    <row r="27" spans="1:6" x14ac:dyDescent="0.25">
      <c r="A27" s="1">
        <v>64</v>
      </c>
      <c r="B27" s="1">
        <v>0</v>
      </c>
      <c r="C27" s="1">
        <v>39</v>
      </c>
      <c r="D27" s="1">
        <v>3</v>
      </c>
    </row>
    <row r="28" spans="1:6" x14ac:dyDescent="0.25">
      <c r="A28" s="1">
        <v>37</v>
      </c>
      <c r="B28" s="1">
        <v>2</v>
      </c>
      <c r="C28" s="1">
        <v>32</v>
      </c>
      <c r="D28" s="1">
        <v>3</v>
      </c>
    </row>
    <row r="29" spans="1:6" x14ac:dyDescent="0.25">
      <c r="A29" s="1">
        <v>32</v>
      </c>
      <c r="B29" s="1">
        <v>2</v>
      </c>
      <c r="C29" s="1">
        <v>56</v>
      </c>
      <c r="D29" s="1">
        <v>3</v>
      </c>
    </row>
    <row r="30" spans="1:6" x14ac:dyDescent="0.25">
      <c r="A30" s="1">
        <v>54</v>
      </c>
      <c r="B30" s="1">
        <v>2</v>
      </c>
      <c r="C30" s="1">
        <v>39</v>
      </c>
      <c r="D30" s="1">
        <v>3</v>
      </c>
    </row>
    <row r="31" spans="1:6" x14ac:dyDescent="0.25">
      <c r="A31" s="1">
        <v>36</v>
      </c>
      <c r="B31" s="1">
        <v>3</v>
      </c>
      <c r="C31" s="1">
        <v>82</v>
      </c>
      <c r="D31" s="1">
        <v>3</v>
      </c>
    </row>
    <row r="32" spans="1:6" x14ac:dyDescent="0.25">
      <c r="A32" s="1">
        <v>80</v>
      </c>
      <c r="B32" s="1">
        <v>0</v>
      </c>
      <c r="C32" s="1">
        <v>70</v>
      </c>
      <c r="D32" s="1">
        <v>3</v>
      </c>
    </row>
    <row r="33" spans="1:6" x14ac:dyDescent="0.25">
      <c r="A33" s="1">
        <v>68</v>
      </c>
      <c r="B33" s="1">
        <v>2</v>
      </c>
      <c r="C33" s="1">
        <v>57</v>
      </c>
      <c r="D33" s="1">
        <v>3</v>
      </c>
    </row>
    <row r="34" spans="1:6" x14ac:dyDescent="0.25">
      <c r="A34" s="1">
        <v>56</v>
      </c>
      <c r="B34" s="1">
        <v>0</v>
      </c>
      <c r="C34" s="1">
        <v>57</v>
      </c>
      <c r="D34" s="1">
        <v>3</v>
      </c>
    </row>
    <row r="35" spans="1:6" x14ac:dyDescent="0.25">
      <c r="A35" s="1">
        <v>18</v>
      </c>
      <c r="B35" s="1">
        <v>2</v>
      </c>
      <c r="C35" s="1">
        <v>29</v>
      </c>
      <c r="D35" s="1">
        <v>3</v>
      </c>
    </row>
    <row r="36" spans="1:6" ht="15.75" thickBot="1" x14ac:dyDescent="0.3">
      <c r="A36" s="1">
        <v>60</v>
      </c>
      <c r="B36" s="1">
        <v>1</v>
      </c>
      <c r="C36" s="1">
        <v>55</v>
      </c>
      <c r="D36" s="1">
        <v>3</v>
      </c>
    </row>
    <row r="37" spans="1:6" ht="20.25" thickTop="1" x14ac:dyDescent="0.4">
      <c r="A37" s="1">
        <v>32</v>
      </c>
      <c r="B37" s="1">
        <v>2</v>
      </c>
      <c r="C37" s="1">
        <v>25</v>
      </c>
      <c r="D37" s="1">
        <v>3</v>
      </c>
      <c r="F37" s="15" t="s">
        <v>25</v>
      </c>
    </row>
    <row r="38" spans="1:6" x14ac:dyDescent="0.25">
      <c r="A38" s="1">
        <v>54</v>
      </c>
      <c r="B38" s="1">
        <v>3</v>
      </c>
      <c r="C38" s="1">
        <v>39</v>
      </c>
      <c r="D38" s="1">
        <v>3</v>
      </c>
      <c r="F38" s="2">
        <f>PEARSON(C2:C67,B2:B67)</f>
        <v>-3.9614761116288116E-2</v>
      </c>
    </row>
    <row r="39" spans="1:6" x14ac:dyDescent="0.25">
      <c r="A39" s="1">
        <v>20</v>
      </c>
      <c r="B39" s="1">
        <v>2</v>
      </c>
      <c r="C39" s="1">
        <v>61</v>
      </c>
      <c r="D39" s="1">
        <v>3</v>
      </c>
    </row>
    <row r="40" spans="1:6" x14ac:dyDescent="0.25">
      <c r="A40" s="1">
        <v>25</v>
      </c>
      <c r="B40" s="1">
        <v>3</v>
      </c>
      <c r="C40" s="1">
        <v>65</v>
      </c>
      <c r="D40" s="1">
        <v>3</v>
      </c>
    </row>
    <row r="41" spans="1:6" x14ac:dyDescent="0.25">
      <c r="A41" s="1">
        <v>41</v>
      </c>
      <c r="B41" s="1">
        <v>3</v>
      </c>
      <c r="C41" s="1">
        <v>26</v>
      </c>
      <c r="D41" s="1">
        <v>3</v>
      </c>
    </row>
    <row r="42" spans="1:6" x14ac:dyDescent="0.25">
      <c r="A42" s="1">
        <v>60</v>
      </c>
      <c r="B42" s="1">
        <v>0</v>
      </c>
      <c r="C42" s="1">
        <v>60</v>
      </c>
      <c r="D42" s="1">
        <v>3</v>
      </c>
    </row>
    <row r="43" spans="1:6" x14ac:dyDescent="0.25">
      <c r="A43" s="1">
        <v>68</v>
      </c>
      <c r="B43" s="1">
        <v>3</v>
      </c>
      <c r="C43" s="1">
        <v>81</v>
      </c>
      <c r="D43" s="1">
        <v>3</v>
      </c>
    </row>
    <row r="44" spans="1:6" x14ac:dyDescent="0.25">
      <c r="A44" s="1">
        <v>29</v>
      </c>
      <c r="B44" s="1">
        <v>3</v>
      </c>
      <c r="C44" s="1">
        <v>46</v>
      </c>
      <c r="D44" s="1">
        <v>3</v>
      </c>
    </row>
    <row r="45" spans="1:6" x14ac:dyDescent="0.25">
      <c r="A45" s="1">
        <v>63</v>
      </c>
      <c r="B45" s="1">
        <v>0</v>
      </c>
      <c r="C45" s="1">
        <v>59</v>
      </c>
      <c r="D45" s="1">
        <v>3</v>
      </c>
    </row>
    <row r="46" spans="1:6" x14ac:dyDescent="0.25">
      <c r="A46" s="1">
        <v>80</v>
      </c>
      <c r="B46" s="1">
        <v>2</v>
      </c>
      <c r="C46" s="1">
        <v>61</v>
      </c>
      <c r="D46" s="1">
        <v>3</v>
      </c>
    </row>
    <row r="47" spans="1:6" x14ac:dyDescent="0.25">
      <c r="A47" s="1">
        <v>47</v>
      </c>
      <c r="B47" s="1">
        <v>0</v>
      </c>
      <c r="C47" s="1">
        <v>70</v>
      </c>
      <c r="D47" s="1">
        <v>3</v>
      </c>
    </row>
    <row r="48" spans="1:6" x14ac:dyDescent="0.25">
      <c r="A48" s="1">
        <v>56</v>
      </c>
      <c r="B48" s="1">
        <v>2</v>
      </c>
      <c r="C48" s="1">
        <v>58</v>
      </c>
      <c r="D48" s="1">
        <v>3</v>
      </c>
    </row>
    <row r="49" spans="1:4" x14ac:dyDescent="0.25">
      <c r="A49" s="1">
        <v>58</v>
      </c>
      <c r="B49" s="1">
        <v>0</v>
      </c>
      <c r="C49" s="1">
        <v>29</v>
      </c>
      <c r="D49" s="1">
        <v>3</v>
      </c>
    </row>
    <row r="50" spans="1:4" x14ac:dyDescent="0.25">
      <c r="A50" s="1">
        <v>72</v>
      </c>
      <c r="B50" s="1">
        <v>1</v>
      </c>
      <c r="C50" s="1">
        <v>48</v>
      </c>
      <c r="D50" s="1">
        <v>3</v>
      </c>
    </row>
    <row r="51" spans="1:4" x14ac:dyDescent="0.25">
      <c r="A51" s="1">
        <v>59</v>
      </c>
      <c r="B51" s="1">
        <v>1</v>
      </c>
      <c r="C51" s="1">
        <v>75</v>
      </c>
      <c r="D51" s="1">
        <v>3</v>
      </c>
    </row>
    <row r="52" spans="1:4" x14ac:dyDescent="0.25">
      <c r="A52" s="1">
        <v>56</v>
      </c>
      <c r="B52" s="1">
        <v>2</v>
      </c>
      <c r="C52" s="1">
        <v>73</v>
      </c>
      <c r="D52" s="1">
        <v>3</v>
      </c>
    </row>
    <row r="53" spans="1:4" x14ac:dyDescent="0.25">
      <c r="A53" s="1">
        <v>31</v>
      </c>
      <c r="B53" s="1">
        <v>2</v>
      </c>
      <c r="C53" s="1">
        <v>70</v>
      </c>
      <c r="D53" s="1">
        <v>3</v>
      </c>
    </row>
    <row r="54" spans="1:4" x14ac:dyDescent="0.25">
      <c r="A54" s="1">
        <v>50</v>
      </c>
      <c r="B54" s="1">
        <v>3</v>
      </c>
      <c r="C54" s="1">
        <v>24</v>
      </c>
      <c r="D54" s="1">
        <v>3</v>
      </c>
    </row>
    <row r="55" spans="1:4" x14ac:dyDescent="0.25">
      <c r="A55" s="1">
        <v>20</v>
      </c>
      <c r="B55" s="1">
        <v>2</v>
      </c>
      <c r="C55" s="1">
        <v>65</v>
      </c>
      <c r="D55" s="1">
        <v>3</v>
      </c>
    </row>
    <row r="56" spans="1:4" x14ac:dyDescent="0.25">
      <c r="A56" s="1">
        <v>76</v>
      </c>
      <c r="B56" s="1">
        <v>2</v>
      </c>
      <c r="C56" s="1">
        <v>69</v>
      </c>
      <c r="D56" s="1">
        <v>3</v>
      </c>
    </row>
    <row r="57" spans="1:4" x14ac:dyDescent="0.25">
      <c r="A57" s="1">
        <v>74</v>
      </c>
      <c r="B57" s="1">
        <v>0</v>
      </c>
      <c r="C57" s="1">
        <v>19</v>
      </c>
      <c r="D57" s="1">
        <v>3</v>
      </c>
    </row>
    <row r="58" spans="1:4" x14ac:dyDescent="0.25">
      <c r="A58" s="1">
        <v>69</v>
      </c>
      <c r="B58" s="1">
        <v>2</v>
      </c>
      <c r="C58" s="1">
        <v>25</v>
      </c>
      <c r="D58" s="1">
        <v>3</v>
      </c>
    </row>
    <row r="59" spans="1:4" x14ac:dyDescent="0.25">
      <c r="A59" s="1">
        <v>22</v>
      </c>
      <c r="B59" s="1">
        <v>1</v>
      </c>
      <c r="C59" s="1">
        <v>26</v>
      </c>
      <c r="D59" s="1">
        <v>3</v>
      </c>
    </row>
    <row r="60" spans="1:4" x14ac:dyDescent="0.25">
      <c r="A60" s="1">
        <v>23</v>
      </c>
      <c r="B60" s="1">
        <v>1</v>
      </c>
      <c r="C60" s="1">
        <v>54</v>
      </c>
      <c r="D60" s="1">
        <v>3</v>
      </c>
    </row>
    <row r="61" spans="1:4" x14ac:dyDescent="0.25">
      <c r="A61" s="1">
        <v>66</v>
      </c>
      <c r="B61" s="1">
        <v>2</v>
      </c>
      <c r="C61" s="1">
        <v>34</v>
      </c>
      <c r="D61" s="1">
        <v>3</v>
      </c>
    </row>
    <row r="62" spans="1:4" x14ac:dyDescent="0.25">
      <c r="A62" s="1">
        <v>70</v>
      </c>
      <c r="B62" s="1">
        <v>2</v>
      </c>
      <c r="C62" s="1">
        <v>69</v>
      </c>
      <c r="D62" s="1">
        <v>3</v>
      </c>
    </row>
    <row r="63" spans="1:4" x14ac:dyDescent="0.25">
      <c r="A63" s="1">
        <v>22</v>
      </c>
      <c r="B63" s="1">
        <v>1</v>
      </c>
      <c r="C63" s="1">
        <v>19</v>
      </c>
      <c r="D63" s="1">
        <v>3</v>
      </c>
    </row>
    <row r="64" spans="1:4" x14ac:dyDescent="0.25">
      <c r="A64" s="1">
        <v>25</v>
      </c>
      <c r="B64" s="1">
        <v>3</v>
      </c>
      <c r="C64" s="1">
        <v>30</v>
      </c>
      <c r="D64" s="1">
        <v>3</v>
      </c>
    </row>
    <row r="65" spans="1:4" x14ac:dyDescent="0.25">
      <c r="A65" s="1">
        <v>23</v>
      </c>
      <c r="B65" s="1">
        <v>2</v>
      </c>
      <c r="C65" s="1">
        <v>18</v>
      </c>
      <c r="D65" s="1">
        <v>3</v>
      </c>
    </row>
    <row r="66" spans="1:4" x14ac:dyDescent="0.25">
      <c r="A66" s="1">
        <v>57</v>
      </c>
      <c r="B66" s="1">
        <v>0</v>
      </c>
      <c r="C66" s="1">
        <v>58</v>
      </c>
      <c r="D66" s="1">
        <v>3</v>
      </c>
    </row>
    <row r="67" spans="1:4" x14ac:dyDescent="0.25">
      <c r="A67" s="1">
        <v>37</v>
      </c>
      <c r="B67" s="1">
        <v>3</v>
      </c>
      <c r="C67" s="1">
        <v>42</v>
      </c>
      <c r="D67" s="1">
        <v>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2B953-241E-4DA3-8824-0BD584A48E81}">
  <sheetPr codeName="Foglio7">
    <tabColor rgb="FF00B050"/>
  </sheetPr>
  <dimension ref="A1:F251"/>
  <sheetViews>
    <sheetView showGridLines="0" topLeftCell="A3" workbookViewId="0">
      <selection activeCell="I22" sqref="I22"/>
    </sheetView>
  </sheetViews>
  <sheetFormatPr defaultRowHeight="15" x14ac:dyDescent="0.25"/>
  <cols>
    <col min="1" max="1" width="10.85546875" bestFit="1" customWidth="1"/>
    <col min="2" max="2" width="5.140625" bestFit="1" customWidth="1"/>
  </cols>
  <sheetData>
    <row r="1" spans="1:4" ht="21" thickTop="1" thickBot="1" x14ac:dyDescent="0.45">
      <c r="A1" s="4" t="s">
        <v>1</v>
      </c>
      <c r="B1" s="4" t="s">
        <v>0</v>
      </c>
    </row>
    <row r="2" spans="1:4" ht="15.75" thickTop="1" x14ac:dyDescent="0.25">
      <c r="A2" s="3">
        <v>1</v>
      </c>
      <c r="B2" s="3">
        <v>68</v>
      </c>
    </row>
    <row r="3" spans="1:4" x14ac:dyDescent="0.25">
      <c r="A3" s="1">
        <v>2</v>
      </c>
      <c r="B3" s="1">
        <v>28</v>
      </c>
    </row>
    <row r="4" spans="1:4" x14ac:dyDescent="0.25">
      <c r="A4" s="1">
        <v>3</v>
      </c>
      <c r="B4" s="1">
        <v>44</v>
      </c>
    </row>
    <row r="5" spans="1:4" x14ac:dyDescent="0.25">
      <c r="A5" s="1">
        <v>4</v>
      </c>
      <c r="B5" s="1">
        <v>63</v>
      </c>
    </row>
    <row r="6" spans="1:4" x14ac:dyDescent="0.25">
      <c r="A6" s="1">
        <v>5</v>
      </c>
      <c r="B6" s="1">
        <v>33</v>
      </c>
    </row>
    <row r="7" spans="1:4" x14ac:dyDescent="0.25">
      <c r="A7" s="1">
        <v>6</v>
      </c>
      <c r="B7" s="1">
        <v>34</v>
      </c>
      <c r="D7" s="6"/>
    </row>
    <row r="8" spans="1:4" x14ac:dyDescent="0.25">
      <c r="A8" s="1">
        <v>7</v>
      </c>
      <c r="B8" s="1">
        <v>51</v>
      </c>
    </row>
    <row r="9" spans="1:4" x14ac:dyDescent="0.25">
      <c r="A9" s="1">
        <v>8</v>
      </c>
      <c r="B9" s="1">
        <v>67</v>
      </c>
    </row>
    <row r="10" spans="1:4" x14ac:dyDescent="0.25">
      <c r="A10" s="1">
        <v>9</v>
      </c>
      <c r="B10" s="1">
        <v>78</v>
      </c>
    </row>
    <row r="11" spans="1:4" x14ac:dyDescent="0.25">
      <c r="A11" s="1">
        <v>10</v>
      </c>
      <c r="B11" s="1">
        <v>55</v>
      </c>
    </row>
    <row r="12" spans="1:4" x14ac:dyDescent="0.25">
      <c r="A12" s="1">
        <v>11</v>
      </c>
      <c r="B12" s="1">
        <v>52</v>
      </c>
    </row>
    <row r="13" spans="1:4" x14ac:dyDescent="0.25">
      <c r="A13" s="1">
        <v>12</v>
      </c>
      <c r="B13" s="1">
        <v>23</v>
      </c>
    </row>
    <row r="14" spans="1:4" x14ac:dyDescent="0.25">
      <c r="A14" s="1">
        <v>13</v>
      </c>
      <c r="B14" s="1">
        <v>24</v>
      </c>
    </row>
    <row r="15" spans="1:4" x14ac:dyDescent="0.25">
      <c r="A15" s="1">
        <v>14</v>
      </c>
      <c r="B15" s="1">
        <v>43</v>
      </c>
    </row>
    <row r="16" spans="1:4" x14ac:dyDescent="0.25">
      <c r="A16" s="1">
        <v>15</v>
      </c>
      <c r="B16" s="1">
        <v>70</v>
      </c>
    </row>
    <row r="17" spans="1:6" ht="15.75" thickBot="1" x14ac:dyDescent="0.3">
      <c r="A17" s="1">
        <v>16</v>
      </c>
      <c r="B17" s="1">
        <v>66</v>
      </c>
    </row>
    <row r="18" spans="1:6" ht="21" thickTop="1" thickBot="1" x14ac:dyDescent="0.45">
      <c r="A18" s="1">
        <v>17</v>
      </c>
      <c r="B18" s="1">
        <v>56</v>
      </c>
      <c r="E18" s="4" t="s">
        <v>58</v>
      </c>
      <c r="F18" s="4" t="s">
        <v>0</v>
      </c>
    </row>
    <row r="19" spans="1:6" ht="15.75" thickTop="1" x14ac:dyDescent="0.25">
      <c r="A19" s="1">
        <v>18</v>
      </c>
      <c r="B19" s="1">
        <v>23</v>
      </c>
      <c r="E19" s="3">
        <f>A161</f>
        <v>160</v>
      </c>
      <c r="F19" s="3">
        <f>B161</f>
        <v>55</v>
      </c>
    </row>
    <row r="20" spans="1:6" x14ac:dyDescent="0.25">
      <c r="A20" s="1">
        <v>19</v>
      </c>
      <c r="B20" s="1">
        <v>58</v>
      </c>
    </row>
    <row r="21" spans="1:6" x14ac:dyDescent="0.25">
      <c r="A21" s="1">
        <v>20</v>
      </c>
      <c r="B21" s="1">
        <v>14</v>
      </c>
    </row>
    <row r="22" spans="1:6" x14ac:dyDescent="0.25">
      <c r="A22" s="1">
        <v>21</v>
      </c>
      <c r="B22" s="1">
        <v>62</v>
      </c>
    </row>
    <row r="23" spans="1:6" x14ac:dyDescent="0.25">
      <c r="A23" s="1">
        <v>22</v>
      </c>
      <c r="B23" s="1">
        <v>70</v>
      </c>
    </row>
    <row r="24" spans="1:6" x14ac:dyDescent="0.25">
      <c r="A24" s="1">
        <v>23</v>
      </c>
      <c r="B24" s="1">
        <v>35</v>
      </c>
    </row>
    <row r="25" spans="1:6" x14ac:dyDescent="0.25">
      <c r="A25" s="1">
        <v>24</v>
      </c>
      <c r="B25" s="1">
        <v>33</v>
      </c>
    </row>
    <row r="26" spans="1:6" x14ac:dyDescent="0.25">
      <c r="A26" s="1">
        <v>25</v>
      </c>
      <c r="B26" s="1">
        <v>40</v>
      </c>
    </row>
    <row r="27" spans="1:6" x14ac:dyDescent="0.25">
      <c r="A27" s="1">
        <v>26</v>
      </c>
      <c r="B27" s="1">
        <v>71</v>
      </c>
    </row>
    <row r="28" spans="1:6" x14ac:dyDescent="0.25">
      <c r="A28" s="1">
        <v>27</v>
      </c>
      <c r="B28" s="1">
        <v>73</v>
      </c>
    </row>
    <row r="29" spans="1:6" x14ac:dyDescent="0.25">
      <c r="A29" s="1">
        <v>28</v>
      </c>
      <c r="B29" s="1">
        <v>60</v>
      </c>
    </row>
    <row r="30" spans="1:6" x14ac:dyDescent="0.25">
      <c r="A30" s="1">
        <v>29</v>
      </c>
      <c r="B30" s="1">
        <v>49</v>
      </c>
    </row>
    <row r="31" spans="1:6" x14ac:dyDescent="0.25">
      <c r="A31" s="1">
        <v>30</v>
      </c>
      <c r="B31" s="1">
        <v>64</v>
      </c>
    </row>
    <row r="32" spans="1:6" x14ac:dyDescent="0.25">
      <c r="A32" s="1">
        <v>31</v>
      </c>
      <c r="B32" s="1">
        <v>50</v>
      </c>
    </row>
    <row r="33" spans="1:2" x14ac:dyDescent="0.25">
      <c r="A33" s="1">
        <v>32</v>
      </c>
      <c r="B33" s="1">
        <v>24</v>
      </c>
    </row>
    <row r="34" spans="1:2" x14ac:dyDescent="0.25">
      <c r="A34" s="1">
        <v>33</v>
      </c>
      <c r="B34" s="1">
        <v>36</v>
      </c>
    </row>
    <row r="35" spans="1:2" x14ac:dyDescent="0.25">
      <c r="A35" s="1">
        <v>34</v>
      </c>
      <c r="B35" s="1">
        <v>33</v>
      </c>
    </row>
    <row r="36" spans="1:2" x14ac:dyDescent="0.25">
      <c r="A36" s="1">
        <v>35</v>
      </c>
      <c r="B36" s="1">
        <v>40</v>
      </c>
    </row>
    <row r="37" spans="1:2" x14ac:dyDescent="0.25">
      <c r="A37" s="1">
        <v>36</v>
      </c>
      <c r="B37" s="1">
        <v>42</v>
      </c>
    </row>
    <row r="38" spans="1:2" x14ac:dyDescent="0.25">
      <c r="A38" s="1">
        <v>37</v>
      </c>
      <c r="B38" s="1">
        <v>53</v>
      </c>
    </row>
    <row r="39" spans="1:2" x14ac:dyDescent="0.25">
      <c r="A39" s="1">
        <v>38</v>
      </c>
      <c r="B39" s="1">
        <v>63</v>
      </c>
    </row>
    <row r="40" spans="1:2" x14ac:dyDescent="0.25">
      <c r="A40" s="1">
        <v>39</v>
      </c>
      <c r="B40" s="1">
        <v>37</v>
      </c>
    </row>
    <row r="41" spans="1:2" x14ac:dyDescent="0.25">
      <c r="A41" s="1">
        <v>40</v>
      </c>
      <c r="B41" s="1">
        <v>79</v>
      </c>
    </row>
    <row r="42" spans="1:2" x14ac:dyDescent="0.25">
      <c r="A42" s="1">
        <v>41</v>
      </c>
      <c r="B42" s="1">
        <v>46</v>
      </c>
    </row>
    <row r="43" spans="1:2" x14ac:dyDescent="0.25">
      <c r="A43" s="1">
        <v>42</v>
      </c>
      <c r="B43" s="1">
        <v>46</v>
      </c>
    </row>
    <row r="44" spans="1:2" x14ac:dyDescent="0.25">
      <c r="A44" s="1">
        <v>43</v>
      </c>
      <c r="B44" s="1">
        <v>85</v>
      </c>
    </row>
    <row r="45" spans="1:2" x14ac:dyDescent="0.25">
      <c r="A45" s="1">
        <v>44</v>
      </c>
      <c r="B45" s="1">
        <v>66</v>
      </c>
    </row>
    <row r="46" spans="1:2" x14ac:dyDescent="0.25">
      <c r="A46" s="1">
        <v>45</v>
      </c>
      <c r="B46" s="1">
        <v>60</v>
      </c>
    </row>
    <row r="47" spans="1:2" x14ac:dyDescent="0.25">
      <c r="A47" s="1">
        <v>46</v>
      </c>
      <c r="B47" s="1">
        <v>46</v>
      </c>
    </row>
    <row r="48" spans="1:2" x14ac:dyDescent="0.25">
      <c r="A48" s="1">
        <v>47</v>
      </c>
      <c r="B48" s="1">
        <v>50</v>
      </c>
    </row>
    <row r="49" spans="1:2" x14ac:dyDescent="0.25">
      <c r="A49" s="1">
        <v>48</v>
      </c>
      <c r="B49" s="1">
        <v>29</v>
      </c>
    </row>
    <row r="50" spans="1:2" x14ac:dyDescent="0.25">
      <c r="A50" s="1">
        <v>49</v>
      </c>
      <c r="B50" s="1">
        <v>63</v>
      </c>
    </row>
    <row r="51" spans="1:2" x14ac:dyDescent="0.25">
      <c r="A51" s="1">
        <v>50</v>
      </c>
      <c r="B51" s="1">
        <v>43</v>
      </c>
    </row>
    <row r="52" spans="1:2" x14ac:dyDescent="0.25">
      <c r="A52" s="1">
        <v>51</v>
      </c>
      <c r="B52" s="1">
        <v>42</v>
      </c>
    </row>
    <row r="53" spans="1:2" x14ac:dyDescent="0.25">
      <c r="A53" s="1">
        <v>52</v>
      </c>
      <c r="B53" s="1">
        <v>35</v>
      </c>
    </row>
    <row r="54" spans="1:2" x14ac:dyDescent="0.25">
      <c r="A54" s="1">
        <v>53</v>
      </c>
      <c r="B54" s="1">
        <v>62</v>
      </c>
    </row>
    <row r="55" spans="1:2" x14ac:dyDescent="0.25">
      <c r="A55" s="1">
        <v>54</v>
      </c>
      <c r="B55" s="1">
        <v>61</v>
      </c>
    </row>
    <row r="56" spans="1:2" x14ac:dyDescent="0.25">
      <c r="A56" s="1">
        <v>55</v>
      </c>
      <c r="B56" s="1">
        <v>0</v>
      </c>
    </row>
    <row r="57" spans="1:2" x14ac:dyDescent="0.25">
      <c r="A57" s="1">
        <v>56</v>
      </c>
      <c r="B57" s="1">
        <v>51</v>
      </c>
    </row>
    <row r="58" spans="1:2" x14ac:dyDescent="0.25">
      <c r="A58" s="1">
        <v>57</v>
      </c>
      <c r="B58" s="1">
        <v>48</v>
      </c>
    </row>
    <row r="59" spans="1:2" x14ac:dyDescent="0.25">
      <c r="A59" s="1">
        <v>58</v>
      </c>
      <c r="B59" s="1">
        <v>49</v>
      </c>
    </row>
    <row r="60" spans="1:2" x14ac:dyDescent="0.25">
      <c r="A60" s="1">
        <v>59</v>
      </c>
      <c r="B60" s="1">
        <v>49</v>
      </c>
    </row>
    <row r="61" spans="1:2" x14ac:dyDescent="0.25">
      <c r="A61" s="1">
        <v>60</v>
      </c>
      <c r="B61" s="1">
        <v>54</v>
      </c>
    </row>
    <row r="62" spans="1:2" x14ac:dyDescent="0.25">
      <c r="A62" s="1">
        <v>61</v>
      </c>
      <c r="B62" s="1">
        <v>9</v>
      </c>
    </row>
    <row r="63" spans="1:2" x14ac:dyDescent="0.25">
      <c r="A63" s="1">
        <v>62</v>
      </c>
      <c r="B63" s="1">
        <v>50</v>
      </c>
    </row>
    <row r="64" spans="1:2" x14ac:dyDescent="0.25">
      <c r="A64" s="1">
        <v>63</v>
      </c>
      <c r="B64" s="1">
        <v>50</v>
      </c>
    </row>
    <row r="65" spans="1:2" x14ac:dyDescent="0.25">
      <c r="A65" s="1">
        <v>64</v>
      </c>
      <c r="B65" s="1">
        <v>29</v>
      </c>
    </row>
    <row r="66" spans="1:2" x14ac:dyDescent="0.25">
      <c r="A66" s="1">
        <v>65</v>
      </c>
      <c r="B66" s="1">
        <v>21</v>
      </c>
    </row>
    <row r="67" spans="1:2" x14ac:dyDescent="0.25">
      <c r="A67" s="1">
        <v>66</v>
      </c>
      <c r="B67" s="1">
        <v>62</v>
      </c>
    </row>
    <row r="68" spans="1:2" x14ac:dyDescent="0.25">
      <c r="A68" s="1">
        <v>67</v>
      </c>
      <c r="B68" s="1">
        <v>36</v>
      </c>
    </row>
    <row r="69" spans="1:2" x14ac:dyDescent="0.25">
      <c r="A69" s="1">
        <v>68</v>
      </c>
      <c r="B69" s="1">
        <v>31</v>
      </c>
    </row>
    <row r="70" spans="1:2" x14ac:dyDescent="0.25">
      <c r="A70" s="1">
        <v>69</v>
      </c>
      <c r="B70" s="1">
        <v>70</v>
      </c>
    </row>
    <row r="71" spans="1:2" x14ac:dyDescent="0.25">
      <c r="A71" s="1">
        <v>70</v>
      </c>
      <c r="B71" s="1">
        <v>73</v>
      </c>
    </row>
    <row r="72" spans="1:2" x14ac:dyDescent="0.25">
      <c r="A72" s="1">
        <v>71</v>
      </c>
      <c r="B72" s="1">
        <v>64</v>
      </c>
    </row>
    <row r="73" spans="1:2" x14ac:dyDescent="0.25">
      <c r="A73" s="1">
        <v>72</v>
      </c>
      <c r="B73" s="1">
        <v>21</v>
      </c>
    </row>
    <row r="74" spans="1:2" x14ac:dyDescent="0.25">
      <c r="A74" s="1">
        <v>73</v>
      </c>
      <c r="B74" s="1">
        <v>63</v>
      </c>
    </row>
    <row r="75" spans="1:2" x14ac:dyDescent="0.25">
      <c r="A75" s="1">
        <v>74</v>
      </c>
      <c r="B75" s="1">
        <v>42</v>
      </c>
    </row>
    <row r="76" spans="1:2" x14ac:dyDescent="0.25">
      <c r="A76" s="1">
        <v>75</v>
      </c>
      <c r="B76" s="1">
        <v>6</v>
      </c>
    </row>
    <row r="77" spans="1:2" x14ac:dyDescent="0.25">
      <c r="A77" s="1">
        <v>76</v>
      </c>
      <c r="B77" s="1">
        <v>56</v>
      </c>
    </row>
    <row r="78" spans="1:2" x14ac:dyDescent="0.25">
      <c r="A78" s="1">
        <v>77</v>
      </c>
      <c r="B78" s="1">
        <v>53</v>
      </c>
    </row>
    <row r="79" spans="1:2" x14ac:dyDescent="0.25">
      <c r="A79" s="1">
        <v>78</v>
      </c>
      <c r="B79" s="1">
        <v>46</v>
      </c>
    </row>
    <row r="80" spans="1:2" x14ac:dyDescent="0.25">
      <c r="A80" s="1">
        <v>79</v>
      </c>
      <c r="B80" s="1">
        <v>47</v>
      </c>
    </row>
    <row r="81" spans="1:2" x14ac:dyDescent="0.25">
      <c r="A81" s="1">
        <v>80</v>
      </c>
      <c r="B81" s="1">
        <v>26</v>
      </c>
    </row>
    <row r="82" spans="1:2" x14ac:dyDescent="0.25">
      <c r="A82" s="1">
        <v>81</v>
      </c>
      <c r="B82" s="1">
        <v>13</v>
      </c>
    </row>
    <row r="83" spans="1:2" x14ac:dyDescent="0.25">
      <c r="A83" s="1">
        <v>82</v>
      </c>
      <c r="B83" s="1">
        <v>73</v>
      </c>
    </row>
    <row r="84" spans="1:2" x14ac:dyDescent="0.25">
      <c r="A84" s="1">
        <v>83</v>
      </c>
      <c r="B84" s="1">
        <v>51</v>
      </c>
    </row>
    <row r="85" spans="1:2" x14ac:dyDescent="0.25">
      <c r="A85" s="1">
        <v>84</v>
      </c>
      <c r="B85" s="1">
        <v>20</v>
      </c>
    </row>
    <row r="86" spans="1:2" x14ac:dyDescent="0.25">
      <c r="A86" s="1">
        <v>85</v>
      </c>
      <c r="B86" s="1">
        <v>89</v>
      </c>
    </row>
    <row r="87" spans="1:2" x14ac:dyDescent="0.25">
      <c r="A87" s="1">
        <v>86</v>
      </c>
      <c r="B87" s="1">
        <v>27</v>
      </c>
    </row>
    <row r="88" spans="1:2" x14ac:dyDescent="0.25">
      <c r="A88" s="1">
        <v>87</v>
      </c>
      <c r="B88" s="1">
        <v>66</v>
      </c>
    </row>
    <row r="89" spans="1:2" x14ac:dyDescent="0.25">
      <c r="A89" s="1">
        <v>88</v>
      </c>
      <c r="B89" s="1">
        <v>54</v>
      </c>
    </row>
    <row r="90" spans="1:2" x14ac:dyDescent="0.25">
      <c r="A90" s="1">
        <v>89</v>
      </c>
      <c r="B90" s="1">
        <v>35</v>
      </c>
    </row>
    <row r="91" spans="1:2" x14ac:dyDescent="0.25">
      <c r="A91" s="1">
        <v>90</v>
      </c>
      <c r="B91" s="1">
        <v>64</v>
      </c>
    </row>
    <row r="92" spans="1:2" x14ac:dyDescent="0.25">
      <c r="A92" s="1">
        <v>91</v>
      </c>
      <c r="B92" s="1">
        <v>37</v>
      </c>
    </row>
    <row r="93" spans="1:2" x14ac:dyDescent="0.25">
      <c r="A93" s="1">
        <v>92</v>
      </c>
      <c r="B93" s="1">
        <v>36</v>
      </c>
    </row>
    <row r="94" spans="1:2" x14ac:dyDescent="0.25">
      <c r="A94" s="1">
        <v>93</v>
      </c>
      <c r="B94" s="1">
        <v>40</v>
      </c>
    </row>
    <row r="95" spans="1:2" x14ac:dyDescent="0.25">
      <c r="A95" s="1">
        <v>94</v>
      </c>
      <c r="B95" s="1">
        <v>43</v>
      </c>
    </row>
    <row r="96" spans="1:2" x14ac:dyDescent="0.25">
      <c r="A96" s="1">
        <v>95</v>
      </c>
      <c r="B96" s="1">
        <v>78</v>
      </c>
    </row>
    <row r="97" spans="1:2" x14ac:dyDescent="0.25">
      <c r="A97" s="1">
        <v>96</v>
      </c>
      <c r="B97" s="1">
        <v>48</v>
      </c>
    </row>
    <row r="98" spans="1:2" x14ac:dyDescent="0.25">
      <c r="A98" s="1">
        <v>97</v>
      </c>
      <c r="B98" s="1">
        <v>64</v>
      </c>
    </row>
    <row r="99" spans="1:2" x14ac:dyDescent="0.25">
      <c r="A99" s="1">
        <v>98</v>
      </c>
      <c r="B99" s="1">
        <v>40</v>
      </c>
    </row>
    <row r="100" spans="1:2" x14ac:dyDescent="0.25">
      <c r="A100" s="1">
        <v>99</v>
      </c>
      <c r="B100" s="1">
        <v>47</v>
      </c>
    </row>
    <row r="101" spans="1:2" x14ac:dyDescent="0.25">
      <c r="A101" s="1">
        <v>100</v>
      </c>
      <c r="B101" s="1">
        <v>60</v>
      </c>
    </row>
    <row r="102" spans="1:2" x14ac:dyDescent="0.25">
      <c r="A102" s="1">
        <v>101</v>
      </c>
      <c r="B102" s="1">
        <v>33</v>
      </c>
    </row>
    <row r="103" spans="1:2" x14ac:dyDescent="0.25">
      <c r="A103" s="1">
        <v>102</v>
      </c>
      <c r="B103" s="1">
        <v>52</v>
      </c>
    </row>
    <row r="104" spans="1:2" x14ac:dyDescent="0.25">
      <c r="A104" s="1">
        <v>103</v>
      </c>
      <c r="B104" s="1">
        <v>30</v>
      </c>
    </row>
    <row r="105" spans="1:2" x14ac:dyDescent="0.25">
      <c r="A105" s="1">
        <v>104</v>
      </c>
      <c r="B105" s="1">
        <v>70</v>
      </c>
    </row>
    <row r="106" spans="1:2" x14ac:dyDescent="0.25">
      <c r="A106" s="1">
        <v>105</v>
      </c>
      <c r="B106" s="1">
        <v>68</v>
      </c>
    </row>
    <row r="107" spans="1:2" x14ac:dyDescent="0.25">
      <c r="A107" s="1">
        <v>106</v>
      </c>
      <c r="B107" s="1">
        <v>61</v>
      </c>
    </row>
    <row r="108" spans="1:2" x14ac:dyDescent="0.25">
      <c r="A108" s="1">
        <v>107</v>
      </c>
      <c r="B108" s="1">
        <v>37</v>
      </c>
    </row>
    <row r="109" spans="1:2" x14ac:dyDescent="0.25">
      <c r="A109" s="1">
        <v>108</v>
      </c>
      <c r="B109" s="1">
        <v>39</v>
      </c>
    </row>
    <row r="110" spans="1:2" x14ac:dyDescent="0.25">
      <c r="A110" s="1">
        <v>109</v>
      </c>
      <c r="B110" s="1">
        <v>62</v>
      </c>
    </row>
    <row r="111" spans="1:2" x14ac:dyDescent="0.25">
      <c r="A111" s="1">
        <v>110</v>
      </c>
      <c r="B111" s="1">
        <v>21</v>
      </c>
    </row>
    <row r="112" spans="1:2" x14ac:dyDescent="0.25">
      <c r="A112" s="1">
        <v>111</v>
      </c>
      <c r="B112" s="1">
        <v>26</v>
      </c>
    </row>
    <row r="113" spans="1:2" x14ac:dyDescent="0.25">
      <c r="A113" s="1">
        <v>112</v>
      </c>
      <c r="B113" s="1">
        <v>100</v>
      </c>
    </row>
    <row r="114" spans="1:2" x14ac:dyDescent="0.25">
      <c r="A114" s="1">
        <v>113</v>
      </c>
      <c r="B114" s="1">
        <v>25</v>
      </c>
    </row>
    <row r="115" spans="1:2" x14ac:dyDescent="0.25">
      <c r="A115" s="1">
        <v>114</v>
      </c>
      <c r="B115" s="1">
        <v>37</v>
      </c>
    </row>
    <row r="116" spans="1:2" x14ac:dyDescent="0.25">
      <c r="A116" s="1">
        <v>115</v>
      </c>
      <c r="B116" s="1">
        <v>21</v>
      </c>
    </row>
    <row r="117" spans="1:2" x14ac:dyDescent="0.25">
      <c r="A117" s="1">
        <v>116</v>
      </c>
      <c r="B117" s="1">
        <v>32</v>
      </c>
    </row>
    <row r="118" spans="1:2" x14ac:dyDescent="0.25">
      <c r="A118" s="1">
        <v>117</v>
      </c>
      <c r="B118" s="1">
        <v>58</v>
      </c>
    </row>
    <row r="119" spans="1:2" x14ac:dyDescent="0.25">
      <c r="A119" s="1">
        <v>118</v>
      </c>
      <c r="B119" s="1">
        <v>54</v>
      </c>
    </row>
    <row r="120" spans="1:2" x14ac:dyDescent="0.25">
      <c r="A120" s="1">
        <v>119</v>
      </c>
      <c r="B120" s="1">
        <v>36</v>
      </c>
    </row>
    <row r="121" spans="1:2" x14ac:dyDescent="0.25">
      <c r="A121" s="1">
        <v>120</v>
      </c>
      <c r="B121" s="1">
        <v>59</v>
      </c>
    </row>
    <row r="122" spans="1:2" x14ac:dyDescent="0.25">
      <c r="A122" s="1">
        <v>121</v>
      </c>
      <c r="B122" s="1">
        <v>65</v>
      </c>
    </row>
    <row r="123" spans="1:2" x14ac:dyDescent="0.25">
      <c r="A123" s="1">
        <v>122</v>
      </c>
      <c r="B123" s="1">
        <v>12</v>
      </c>
    </row>
    <row r="124" spans="1:2" x14ac:dyDescent="0.25">
      <c r="A124" s="1">
        <v>123</v>
      </c>
      <c r="B124" s="1">
        <v>20</v>
      </c>
    </row>
    <row r="125" spans="1:2" x14ac:dyDescent="0.25">
      <c r="A125" s="1">
        <v>124</v>
      </c>
      <c r="B125" s="1">
        <v>55</v>
      </c>
    </row>
    <row r="126" spans="1:2" x14ac:dyDescent="0.25">
      <c r="A126" s="1">
        <v>125</v>
      </c>
      <c r="B126" s="1">
        <v>80</v>
      </c>
    </row>
    <row r="127" spans="1:2" x14ac:dyDescent="0.25">
      <c r="A127" s="1">
        <v>126</v>
      </c>
      <c r="B127" s="1">
        <v>68</v>
      </c>
    </row>
    <row r="128" spans="1:2" x14ac:dyDescent="0.25">
      <c r="A128" s="1">
        <v>127</v>
      </c>
      <c r="B128" s="1">
        <v>22</v>
      </c>
    </row>
    <row r="129" spans="1:2" x14ac:dyDescent="0.25">
      <c r="A129" s="1">
        <v>128</v>
      </c>
      <c r="B129" s="1">
        <v>11</v>
      </c>
    </row>
    <row r="130" spans="1:2" x14ac:dyDescent="0.25">
      <c r="A130" s="1">
        <v>129</v>
      </c>
      <c r="B130" s="1">
        <v>56</v>
      </c>
    </row>
    <row r="131" spans="1:2" x14ac:dyDescent="0.25">
      <c r="A131" s="1">
        <v>130</v>
      </c>
      <c r="B131" s="1">
        <v>18</v>
      </c>
    </row>
    <row r="132" spans="1:2" x14ac:dyDescent="0.25">
      <c r="A132" s="1">
        <v>131</v>
      </c>
      <c r="B132" s="1">
        <v>10</v>
      </c>
    </row>
    <row r="133" spans="1:2" x14ac:dyDescent="0.25">
      <c r="A133" s="1">
        <v>132</v>
      </c>
      <c r="B133" s="1">
        <v>59</v>
      </c>
    </row>
    <row r="134" spans="1:2" x14ac:dyDescent="0.25">
      <c r="A134" s="1">
        <v>133</v>
      </c>
      <c r="B134" s="1">
        <v>64</v>
      </c>
    </row>
    <row r="135" spans="1:2" x14ac:dyDescent="0.25">
      <c r="A135" s="1">
        <v>134</v>
      </c>
      <c r="B135" s="1">
        <v>60</v>
      </c>
    </row>
    <row r="136" spans="1:2" x14ac:dyDescent="0.25">
      <c r="A136" s="1">
        <v>135</v>
      </c>
      <c r="B136" s="1">
        <v>69</v>
      </c>
    </row>
    <row r="137" spans="1:2" x14ac:dyDescent="0.25">
      <c r="A137" s="1">
        <v>136</v>
      </c>
      <c r="B137" s="1">
        <v>88</v>
      </c>
    </row>
    <row r="138" spans="1:2" x14ac:dyDescent="0.25">
      <c r="A138" s="1">
        <v>137</v>
      </c>
      <c r="B138" s="1">
        <v>45</v>
      </c>
    </row>
    <row r="139" spans="1:2" x14ac:dyDescent="0.25">
      <c r="A139" s="1">
        <v>138</v>
      </c>
      <c r="B139" s="1">
        <v>100</v>
      </c>
    </row>
    <row r="140" spans="1:2" x14ac:dyDescent="0.25">
      <c r="A140" s="1">
        <v>139</v>
      </c>
      <c r="B140" s="1">
        <v>40</v>
      </c>
    </row>
    <row r="141" spans="1:2" x14ac:dyDescent="0.25">
      <c r="A141" s="1">
        <v>140</v>
      </c>
      <c r="B141" s="1">
        <v>0</v>
      </c>
    </row>
    <row r="142" spans="1:2" x14ac:dyDescent="0.25">
      <c r="A142" s="1">
        <v>141</v>
      </c>
      <c r="B142" s="1">
        <v>36</v>
      </c>
    </row>
    <row r="143" spans="1:2" x14ac:dyDescent="0.25">
      <c r="A143" s="1">
        <v>142</v>
      </c>
      <c r="B143" s="1">
        <v>32</v>
      </c>
    </row>
    <row r="144" spans="1:2" x14ac:dyDescent="0.25">
      <c r="A144" s="1">
        <v>143</v>
      </c>
      <c r="B144" s="1">
        <v>54</v>
      </c>
    </row>
    <row r="145" spans="1:2" x14ac:dyDescent="0.25">
      <c r="A145" s="1">
        <v>144</v>
      </c>
      <c r="B145" s="1">
        <v>28</v>
      </c>
    </row>
    <row r="146" spans="1:2" x14ac:dyDescent="0.25">
      <c r="A146" s="1">
        <v>145</v>
      </c>
      <c r="B146" s="1">
        <v>55</v>
      </c>
    </row>
    <row r="147" spans="1:2" x14ac:dyDescent="0.25">
      <c r="A147" s="1">
        <v>146</v>
      </c>
      <c r="B147" s="1">
        <v>50</v>
      </c>
    </row>
    <row r="148" spans="1:2" x14ac:dyDescent="0.25">
      <c r="A148" s="1">
        <v>147</v>
      </c>
      <c r="B148" s="1">
        <v>20</v>
      </c>
    </row>
    <row r="149" spans="1:2" x14ac:dyDescent="0.25">
      <c r="A149" s="1">
        <v>148</v>
      </c>
      <c r="B149" s="1">
        <v>32</v>
      </c>
    </row>
    <row r="150" spans="1:2" x14ac:dyDescent="0.25">
      <c r="A150" s="1">
        <v>149</v>
      </c>
      <c r="B150" s="1">
        <v>21</v>
      </c>
    </row>
    <row r="151" spans="1:2" x14ac:dyDescent="0.25">
      <c r="A151" s="1">
        <v>150</v>
      </c>
      <c r="B151" s="1">
        <v>81</v>
      </c>
    </row>
    <row r="152" spans="1:2" x14ac:dyDescent="0.25">
      <c r="A152" s="1">
        <v>151</v>
      </c>
      <c r="B152" s="1">
        <v>34</v>
      </c>
    </row>
    <row r="153" spans="1:2" x14ac:dyDescent="0.25">
      <c r="A153" s="1">
        <v>152</v>
      </c>
      <c r="B153" s="1">
        <v>25</v>
      </c>
    </row>
    <row r="154" spans="1:2" x14ac:dyDescent="0.25">
      <c r="A154" s="1">
        <v>153</v>
      </c>
      <c r="B154" s="1">
        <v>35</v>
      </c>
    </row>
    <row r="155" spans="1:2" x14ac:dyDescent="0.25">
      <c r="A155" s="1">
        <v>154</v>
      </c>
      <c r="B155" s="1">
        <v>27</v>
      </c>
    </row>
    <row r="156" spans="1:2" x14ac:dyDescent="0.25">
      <c r="A156" s="1">
        <v>155</v>
      </c>
      <c r="B156" s="1">
        <v>41</v>
      </c>
    </row>
    <row r="157" spans="1:2" x14ac:dyDescent="0.25">
      <c r="A157" s="1">
        <v>156</v>
      </c>
      <c r="B157" s="1">
        <v>64</v>
      </c>
    </row>
    <row r="158" spans="1:2" x14ac:dyDescent="0.25">
      <c r="A158" s="1">
        <v>157</v>
      </c>
      <c r="B158" s="1">
        <v>41</v>
      </c>
    </row>
    <row r="159" spans="1:2" x14ac:dyDescent="0.25">
      <c r="A159" s="1">
        <v>158</v>
      </c>
      <c r="B159" s="1">
        <v>60</v>
      </c>
    </row>
    <row r="160" spans="1:2" x14ac:dyDescent="0.25">
      <c r="A160" s="1">
        <v>159</v>
      </c>
      <c r="B160" s="1">
        <v>25</v>
      </c>
    </row>
    <row r="161" spans="1:2" x14ac:dyDescent="0.25">
      <c r="A161" s="1">
        <v>160</v>
      </c>
      <c r="B161" s="1">
        <v>55</v>
      </c>
    </row>
    <row r="162" spans="1:2" x14ac:dyDescent="0.25">
      <c r="A162" s="1">
        <v>161</v>
      </c>
      <c r="B162" s="1">
        <v>24</v>
      </c>
    </row>
    <row r="163" spans="1:2" x14ac:dyDescent="0.25">
      <c r="A163" s="1">
        <v>162</v>
      </c>
      <c r="B163" s="1">
        <v>68</v>
      </c>
    </row>
    <row r="164" spans="1:2" x14ac:dyDescent="0.25">
      <c r="A164" s="1">
        <v>163</v>
      </c>
      <c r="B164" s="1">
        <v>14</v>
      </c>
    </row>
    <row r="165" spans="1:2" x14ac:dyDescent="0.25">
      <c r="A165" s="1">
        <v>164</v>
      </c>
      <c r="B165" s="1">
        <v>46</v>
      </c>
    </row>
    <row r="166" spans="1:2" x14ac:dyDescent="0.25">
      <c r="A166" s="1">
        <v>165</v>
      </c>
      <c r="B166" s="1">
        <v>29</v>
      </c>
    </row>
    <row r="167" spans="1:2" x14ac:dyDescent="0.25">
      <c r="A167" s="1">
        <v>166</v>
      </c>
      <c r="B167" s="1">
        <v>53</v>
      </c>
    </row>
    <row r="168" spans="1:2" x14ac:dyDescent="0.25">
      <c r="A168" s="1">
        <v>167</v>
      </c>
      <c r="B168" s="1">
        <v>37</v>
      </c>
    </row>
    <row r="169" spans="1:2" x14ac:dyDescent="0.25">
      <c r="A169" s="1">
        <v>168</v>
      </c>
      <c r="B169" s="1">
        <v>63</v>
      </c>
    </row>
    <row r="170" spans="1:2" x14ac:dyDescent="0.25">
      <c r="A170" s="1">
        <v>169</v>
      </c>
      <c r="B170" s="1">
        <v>80</v>
      </c>
    </row>
    <row r="171" spans="1:2" x14ac:dyDescent="0.25">
      <c r="A171" s="1">
        <v>170</v>
      </c>
      <c r="B171" s="1">
        <v>24</v>
      </c>
    </row>
    <row r="172" spans="1:2" x14ac:dyDescent="0.25">
      <c r="A172" s="1">
        <v>171</v>
      </c>
      <c r="B172" s="1">
        <v>74</v>
      </c>
    </row>
    <row r="173" spans="1:2" x14ac:dyDescent="0.25">
      <c r="A173" s="1">
        <v>172</v>
      </c>
      <c r="B173" s="1">
        <v>47</v>
      </c>
    </row>
    <row r="174" spans="1:2" x14ac:dyDescent="0.25">
      <c r="A174" s="1">
        <v>173</v>
      </c>
      <c r="B174" s="1">
        <v>5</v>
      </c>
    </row>
    <row r="175" spans="1:2" x14ac:dyDescent="0.25">
      <c r="A175" s="1">
        <v>174</v>
      </c>
      <c r="B175" s="1">
        <v>63</v>
      </c>
    </row>
    <row r="176" spans="1:2" x14ac:dyDescent="0.25">
      <c r="A176" s="1">
        <v>175</v>
      </c>
      <c r="B176" s="1">
        <v>56</v>
      </c>
    </row>
    <row r="177" spans="1:2" x14ac:dyDescent="0.25">
      <c r="A177" s="1">
        <v>176</v>
      </c>
      <c r="B177" s="1">
        <v>54</v>
      </c>
    </row>
    <row r="178" spans="1:2" x14ac:dyDescent="0.25">
      <c r="A178" s="1">
        <v>177</v>
      </c>
      <c r="B178" s="1">
        <v>47</v>
      </c>
    </row>
    <row r="179" spans="1:2" x14ac:dyDescent="0.25">
      <c r="A179" s="1">
        <v>178</v>
      </c>
      <c r="B179" s="1">
        <v>49</v>
      </c>
    </row>
    <row r="180" spans="1:2" x14ac:dyDescent="0.25">
      <c r="A180" s="1">
        <v>179</v>
      </c>
      <c r="B180" s="1">
        <v>0</v>
      </c>
    </row>
    <row r="181" spans="1:2" x14ac:dyDescent="0.25">
      <c r="A181" s="1">
        <v>180</v>
      </c>
      <c r="B181" s="1">
        <v>58</v>
      </c>
    </row>
    <row r="182" spans="1:2" x14ac:dyDescent="0.25">
      <c r="A182" s="1">
        <v>181</v>
      </c>
      <c r="B182" s="1">
        <v>72</v>
      </c>
    </row>
    <row r="183" spans="1:2" x14ac:dyDescent="0.25">
      <c r="A183" s="1">
        <v>182</v>
      </c>
      <c r="B183" s="1">
        <v>59</v>
      </c>
    </row>
    <row r="184" spans="1:2" x14ac:dyDescent="0.25">
      <c r="A184" s="1">
        <v>183</v>
      </c>
      <c r="B184" s="1">
        <v>50</v>
      </c>
    </row>
    <row r="185" spans="1:2" x14ac:dyDescent="0.25">
      <c r="A185" s="1">
        <v>184</v>
      </c>
      <c r="B185" s="1">
        <v>56</v>
      </c>
    </row>
    <row r="186" spans="1:2" x14ac:dyDescent="0.25">
      <c r="A186" s="1">
        <v>185</v>
      </c>
      <c r="B186" s="1">
        <v>31</v>
      </c>
    </row>
    <row r="187" spans="1:2" x14ac:dyDescent="0.25">
      <c r="A187" s="1">
        <v>186</v>
      </c>
      <c r="B187" s="1">
        <v>44</v>
      </c>
    </row>
    <row r="188" spans="1:2" x14ac:dyDescent="0.25">
      <c r="A188" s="1">
        <v>187</v>
      </c>
      <c r="B188" s="1">
        <v>43</v>
      </c>
    </row>
    <row r="189" spans="1:2" x14ac:dyDescent="0.25">
      <c r="A189" s="1">
        <v>188</v>
      </c>
      <c r="B189" s="1">
        <v>50</v>
      </c>
    </row>
    <row r="190" spans="1:2" x14ac:dyDescent="0.25">
      <c r="A190" s="1">
        <v>189</v>
      </c>
      <c r="B190" s="1">
        <v>58</v>
      </c>
    </row>
    <row r="191" spans="1:2" x14ac:dyDescent="0.25">
      <c r="A191" s="1">
        <v>190</v>
      </c>
      <c r="B191" s="1">
        <v>10</v>
      </c>
    </row>
    <row r="192" spans="1:2" x14ac:dyDescent="0.25">
      <c r="A192" s="1">
        <v>191</v>
      </c>
      <c r="B192" s="1">
        <v>34</v>
      </c>
    </row>
    <row r="193" spans="1:2" x14ac:dyDescent="0.25">
      <c r="A193" s="1">
        <v>192</v>
      </c>
      <c r="B193" s="1">
        <v>5</v>
      </c>
    </row>
    <row r="194" spans="1:2" x14ac:dyDescent="0.25">
      <c r="A194" s="1">
        <v>193</v>
      </c>
      <c r="B194" s="1">
        <v>73</v>
      </c>
    </row>
    <row r="195" spans="1:2" x14ac:dyDescent="0.25">
      <c r="A195" s="1">
        <v>194</v>
      </c>
      <c r="B195" s="1">
        <v>84</v>
      </c>
    </row>
    <row r="196" spans="1:2" x14ac:dyDescent="0.25">
      <c r="A196" s="1">
        <v>195</v>
      </c>
      <c r="B196" s="1">
        <v>46</v>
      </c>
    </row>
    <row r="197" spans="1:2" x14ac:dyDescent="0.25">
      <c r="A197" s="1">
        <v>196</v>
      </c>
      <c r="B197" s="1">
        <v>51</v>
      </c>
    </row>
    <row r="198" spans="1:2" x14ac:dyDescent="0.25">
      <c r="A198" s="1">
        <v>197</v>
      </c>
      <c r="B198" s="1">
        <v>75</v>
      </c>
    </row>
    <row r="199" spans="1:2" x14ac:dyDescent="0.25">
      <c r="A199" s="1">
        <v>198</v>
      </c>
      <c r="B199" s="1">
        <v>20</v>
      </c>
    </row>
    <row r="200" spans="1:2" x14ac:dyDescent="0.25">
      <c r="A200" s="1">
        <v>199</v>
      </c>
      <c r="B200" s="1">
        <v>50</v>
      </c>
    </row>
    <row r="201" spans="1:2" x14ac:dyDescent="0.25">
      <c r="A201" s="1">
        <v>200</v>
      </c>
      <c r="B201" s="1">
        <v>22</v>
      </c>
    </row>
    <row r="202" spans="1:2" x14ac:dyDescent="0.25">
      <c r="A202" s="1">
        <v>201</v>
      </c>
      <c r="B202" s="1">
        <v>76</v>
      </c>
    </row>
    <row r="203" spans="1:2" x14ac:dyDescent="0.25">
      <c r="A203" s="1">
        <v>202</v>
      </c>
      <c r="B203" s="1">
        <v>47</v>
      </c>
    </row>
    <row r="204" spans="1:2" x14ac:dyDescent="0.25">
      <c r="A204" s="1">
        <v>203</v>
      </c>
      <c r="B204" s="1">
        <v>74</v>
      </c>
    </row>
    <row r="205" spans="1:2" x14ac:dyDescent="0.25">
      <c r="A205" s="1">
        <v>204</v>
      </c>
      <c r="B205" s="1">
        <v>57</v>
      </c>
    </row>
    <row r="206" spans="1:2" x14ac:dyDescent="0.25">
      <c r="A206" s="1">
        <v>205</v>
      </c>
      <c r="B206" s="1">
        <v>96</v>
      </c>
    </row>
    <row r="207" spans="1:2" x14ac:dyDescent="0.25">
      <c r="A207" s="1">
        <v>206</v>
      </c>
      <c r="B207" s="1">
        <v>69</v>
      </c>
    </row>
    <row r="208" spans="1:2" x14ac:dyDescent="0.25">
      <c r="A208" s="1">
        <v>207</v>
      </c>
      <c r="B208" s="1">
        <v>21</v>
      </c>
    </row>
    <row r="209" spans="1:2" x14ac:dyDescent="0.25">
      <c r="A209" s="1">
        <v>208</v>
      </c>
      <c r="B209" s="1">
        <v>56</v>
      </c>
    </row>
    <row r="210" spans="1:2" x14ac:dyDescent="0.25">
      <c r="A210" s="1">
        <v>209</v>
      </c>
      <c r="B210" s="1">
        <v>30</v>
      </c>
    </row>
    <row r="211" spans="1:2" x14ac:dyDescent="0.25">
      <c r="A211" s="1">
        <v>210</v>
      </c>
      <c r="B211" s="1">
        <v>22</v>
      </c>
    </row>
    <row r="212" spans="1:2" x14ac:dyDescent="0.25">
      <c r="A212" s="1">
        <v>211</v>
      </c>
      <c r="B212" s="1">
        <v>36</v>
      </c>
    </row>
    <row r="213" spans="1:2" x14ac:dyDescent="0.25">
      <c r="A213" s="1">
        <v>212</v>
      </c>
      <c r="B213" s="1">
        <v>24</v>
      </c>
    </row>
    <row r="214" spans="1:2" x14ac:dyDescent="0.25">
      <c r="A214" s="1">
        <v>213</v>
      </c>
      <c r="B214" s="1">
        <v>75</v>
      </c>
    </row>
    <row r="215" spans="1:2" x14ac:dyDescent="0.25">
      <c r="A215" s="1">
        <v>214</v>
      </c>
      <c r="B215" s="1">
        <v>32</v>
      </c>
    </row>
    <row r="216" spans="1:2" x14ac:dyDescent="0.25">
      <c r="A216" s="1">
        <v>215</v>
      </c>
      <c r="B216" s="1">
        <v>55</v>
      </c>
    </row>
    <row r="217" spans="1:2" x14ac:dyDescent="0.25">
      <c r="A217" s="1">
        <v>216</v>
      </c>
      <c r="B217" s="1">
        <v>23</v>
      </c>
    </row>
    <row r="218" spans="1:2" x14ac:dyDescent="0.25">
      <c r="A218" s="1">
        <v>217</v>
      </c>
      <c r="B218" s="1">
        <v>66</v>
      </c>
    </row>
    <row r="219" spans="1:2" x14ac:dyDescent="0.25">
      <c r="A219" s="1">
        <v>218</v>
      </c>
      <c r="B219" s="1">
        <v>52</v>
      </c>
    </row>
    <row r="220" spans="1:2" x14ac:dyDescent="0.25">
      <c r="A220" s="1">
        <v>219</v>
      </c>
      <c r="B220" s="1">
        <v>48</v>
      </c>
    </row>
    <row r="221" spans="1:2" x14ac:dyDescent="0.25">
      <c r="A221" s="1">
        <v>220</v>
      </c>
      <c r="B221" s="1">
        <v>39</v>
      </c>
    </row>
    <row r="222" spans="1:2" x14ac:dyDescent="0.25">
      <c r="A222" s="1">
        <v>221</v>
      </c>
      <c r="B222" s="1">
        <v>57</v>
      </c>
    </row>
    <row r="223" spans="1:2" x14ac:dyDescent="0.25">
      <c r="A223" s="1">
        <v>222</v>
      </c>
      <c r="B223" s="1">
        <v>70</v>
      </c>
    </row>
    <row r="224" spans="1:2" x14ac:dyDescent="0.25">
      <c r="A224" s="1">
        <v>223</v>
      </c>
      <c r="B224" s="1">
        <v>71</v>
      </c>
    </row>
    <row r="225" spans="1:2" x14ac:dyDescent="0.25">
      <c r="A225" s="1">
        <v>224</v>
      </c>
      <c r="B225" s="1">
        <v>39</v>
      </c>
    </row>
    <row r="226" spans="1:2" x14ac:dyDescent="0.25">
      <c r="A226" s="1">
        <v>225</v>
      </c>
      <c r="B226" s="1">
        <v>40</v>
      </c>
    </row>
    <row r="227" spans="1:2" x14ac:dyDescent="0.25">
      <c r="A227" s="1">
        <v>226</v>
      </c>
      <c r="B227" s="1">
        <v>29</v>
      </c>
    </row>
    <row r="228" spans="1:2" x14ac:dyDescent="0.25">
      <c r="A228" s="1">
        <v>227</v>
      </c>
      <c r="B228" s="1">
        <v>22</v>
      </c>
    </row>
    <row r="229" spans="1:2" x14ac:dyDescent="0.25">
      <c r="A229" s="1">
        <v>228</v>
      </c>
      <c r="B229" s="1">
        <v>64</v>
      </c>
    </row>
    <row r="230" spans="1:2" x14ac:dyDescent="0.25">
      <c r="A230" s="1">
        <v>229</v>
      </c>
      <c r="B230" s="1">
        <v>36</v>
      </c>
    </row>
    <row r="231" spans="1:2" x14ac:dyDescent="0.25">
      <c r="A231" s="1">
        <v>230</v>
      </c>
      <c r="B231" s="1">
        <v>66</v>
      </c>
    </row>
    <row r="232" spans="1:2" x14ac:dyDescent="0.25">
      <c r="A232" s="1">
        <v>231</v>
      </c>
      <c r="B232" s="1">
        <v>51</v>
      </c>
    </row>
    <row r="233" spans="1:2" x14ac:dyDescent="0.25">
      <c r="A233" s="1">
        <v>232</v>
      </c>
      <c r="B233" s="1">
        <v>47</v>
      </c>
    </row>
    <row r="234" spans="1:2" x14ac:dyDescent="0.25">
      <c r="A234" s="1">
        <v>233</v>
      </c>
      <c r="B234" s="1">
        <v>49</v>
      </c>
    </row>
    <row r="235" spans="1:2" x14ac:dyDescent="0.25">
      <c r="A235" s="1">
        <v>234</v>
      </c>
      <c r="B235" s="1">
        <v>24</v>
      </c>
    </row>
    <row r="236" spans="1:2" x14ac:dyDescent="0.25">
      <c r="A236" s="1">
        <v>235</v>
      </c>
      <c r="B236" s="1">
        <v>74</v>
      </c>
    </row>
    <row r="237" spans="1:2" x14ac:dyDescent="0.25">
      <c r="A237" s="1">
        <v>236</v>
      </c>
      <c r="B237" s="1">
        <v>26</v>
      </c>
    </row>
    <row r="238" spans="1:2" x14ac:dyDescent="0.25">
      <c r="A238" s="1">
        <v>237</v>
      </c>
      <c r="B238" s="1">
        <v>32</v>
      </c>
    </row>
    <row r="239" spans="1:2" x14ac:dyDescent="0.25">
      <c r="A239" s="1">
        <v>238</v>
      </c>
      <c r="B239" s="1">
        <v>25</v>
      </c>
    </row>
    <row r="240" spans="1:2" x14ac:dyDescent="0.25">
      <c r="A240" s="1">
        <v>239</v>
      </c>
      <c r="B240" s="1">
        <v>23</v>
      </c>
    </row>
    <row r="241" spans="1:2" x14ac:dyDescent="0.25">
      <c r="A241" s="1">
        <v>240</v>
      </c>
      <c r="B241" s="1">
        <v>44</v>
      </c>
    </row>
    <row r="242" spans="1:2" x14ac:dyDescent="0.25">
      <c r="A242" s="1">
        <v>241</v>
      </c>
      <c r="B242" s="1">
        <v>75</v>
      </c>
    </row>
    <row r="243" spans="1:2" x14ac:dyDescent="0.25">
      <c r="A243" s="1">
        <v>242</v>
      </c>
      <c r="B243" s="1">
        <v>39</v>
      </c>
    </row>
    <row r="244" spans="1:2" x14ac:dyDescent="0.25">
      <c r="A244" s="1">
        <v>243</v>
      </c>
      <c r="B244" s="1">
        <v>63</v>
      </c>
    </row>
    <row r="245" spans="1:2" x14ac:dyDescent="0.25">
      <c r="A245" s="1">
        <v>244</v>
      </c>
      <c r="B245" s="1">
        <v>53</v>
      </c>
    </row>
    <row r="246" spans="1:2" x14ac:dyDescent="0.25">
      <c r="A246" s="1">
        <v>245</v>
      </c>
      <c r="B246" s="1">
        <v>88</v>
      </c>
    </row>
    <row r="247" spans="1:2" x14ac:dyDescent="0.25">
      <c r="A247" s="1">
        <v>246</v>
      </c>
      <c r="B247" s="1">
        <v>36</v>
      </c>
    </row>
    <row r="248" spans="1:2" x14ac:dyDescent="0.25">
      <c r="A248" s="1">
        <v>247</v>
      </c>
      <c r="B248" s="1">
        <v>53</v>
      </c>
    </row>
    <row r="249" spans="1:2" x14ac:dyDescent="0.25">
      <c r="A249" s="1">
        <v>248</v>
      </c>
      <c r="B249" s="1">
        <v>57</v>
      </c>
    </row>
    <row r="250" spans="1:2" x14ac:dyDescent="0.25">
      <c r="A250" s="1">
        <v>249</v>
      </c>
      <c r="B250" s="1">
        <v>50</v>
      </c>
    </row>
    <row r="251" spans="1:2" x14ac:dyDescent="0.25">
      <c r="A251" s="1">
        <v>250</v>
      </c>
      <c r="B251" s="1">
        <v>37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28386-7C08-4D17-AA0D-D1BB4446188A}">
  <sheetPr>
    <tabColor theme="2" tint="-0.749992370372631"/>
  </sheetPr>
  <dimension ref="A1:D7"/>
  <sheetViews>
    <sheetView showGridLines="0" workbookViewId="0">
      <selection activeCell="B24" sqref="B24"/>
    </sheetView>
  </sheetViews>
  <sheetFormatPr defaultRowHeight="15" x14ac:dyDescent="0.25"/>
  <cols>
    <col min="1" max="1" width="23.140625" bestFit="1" customWidth="1"/>
    <col min="2" max="2" width="40.5703125" bestFit="1" customWidth="1"/>
    <col min="3" max="3" width="72.42578125" bestFit="1" customWidth="1"/>
    <col min="4" max="4" width="85.28515625" bestFit="1" customWidth="1"/>
  </cols>
  <sheetData>
    <row r="1" spans="1:4" x14ac:dyDescent="0.25">
      <c r="A1" s="25" t="s">
        <v>26</v>
      </c>
      <c r="B1" s="24" t="s">
        <v>27</v>
      </c>
      <c r="C1" s="24" t="s">
        <v>28</v>
      </c>
      <c r="D1" s="26" t="s">
        <v>29</v>
      </c>
    </row>
    <row r="2" spans="1:4" x14ac:dyDescent="0.25">
      <c r="A2" s="27" t="s">
        <v>30</v>
      </c>
      <c r="B2" s="18" t="s">
        <v>31</v>
      </c>
      <c r="C2" s="18" t="s">
        <v>39</v>
      </c>
      <c r="D2" s="21" t="s">
        <v>40</v>
      </c>
    </row>
    <row r="3" spans="1:4" x14ac:dyDescent="0.25">
      <c r="A3" s="28" t="s">
        <v>32</v>
      </c>
      <c r="B3" s="19" t="s">
        <v>41</v>
      </c>
      <c r="C3" s="19" t="s">
        <v>42</v>
      </c>
      <c r="D3" s="20" t="s">
        <v>43</v>
      </c>
    </row>
    <row r="4" spans="1:4" ht="60" x14ac:dyDescent="0.25">
      <c r="A4" s="27" t="s">
        <v>33</v>
      </c>
      <c r="B4" s="18" t="s">
        <v>34</v>
      </c>
      <c r="C4" s="18" t="s">
        <v>44</v>
      </c>
      <c r="D4" s="21" t="s">
        <v>35</v>
      </c>
    </row>
    <row r="5" spans="1:4" ht="30" x14ac:dyDescent="0.25">
      <c r="A5" s="30" t="s">
        <v>36</v>
      </c>
      <c r="B5" s="12" t="s">
        <v>45</v>
      </c>
      <c r="C5" s="12" t="s">
        <v>46</v>
      </c>
      <c r="D5" s="22" t="s">
        <v>47</v>
      </c>
    </row>
    <row r="6" spans="1:4" ht="73.5" customHeight="1" x14ac:dyDescent="0.25">
      <c r="A6" s="30" t="s">
        <v>37</v>
      </c>
      <c r="B6" s="12" t="s">
        <v>48</v>
      </c>
      <c r="C6" s="9" t="s">
        <v>49</v>
      </c>
      <c r="D6" s="12" t="s">
        <v>50</v>
      </c>
    </row>
    <row r="7" spans="1:4" x14ac:dyDescent="0.25">
      <c r="A7" s="30" t="s">
        <v>38</v>
      </c>
      <c r="B7" s="12" t="s">
        <v>51</v>
      </c>
      <c r="C7" s="12" t="s">
        <v>52</v>
      </c>
      <c r="D7" s="12" t="s">
        <v>53</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9B855-687B-4044-9004-0E3761D593D7}">
  <sheetPr codeName="Foglio9"/>
  <dimension ref="A1:B4"/>
  <sheetViews>
    <sheetView topLeftCell="A2" workbookViewId="0">
      <selection activeCell="E4" sqref="E4"/>
    </sheetView>
  </sheetViews>
  <sheetFormatPr defaultRowHeight="15" x14ac:dyDescent="0.25"/>
  <cols>
    <col min="1" max="1" width="10.42578125" bestFit="1" customWidth="1"/>
    <col min="2" max="2" width="60.85546875" customWidth="1"/>
  </cols>
  <sheetData>
    <row r="1" spans="1:2" ht="180" x14ac:dyDescent="0.25">
      <c r="A1" s="12">
        <v>1</v>
      </c>
      <c r="B1" s="10" t="s">
        <v>55</v>
      </c>
    </row>
    <row r="2" spans="1:2" ht="180" x14ac:dyDescent="0.25">
      <c r="A2" s="12">
        <v>2</v>
      </c>
      <c r="B2" s="10" t="s">
        <v>56</v>
      </c>
    </row>
    <row r="3" spans="1:2" ht="180" x14ac:dyDescent="0.25">
      <c r="A3" s="12">
        <v>3</v>
      </c>
      <c r="B3" s="10" t="s">
        <v>54</v>
      </c>
    </row>
    <row r="4" spans="1:2" ht="180" x14ac:dyDescent="0.25">
      <c r="A4" s="12">
        <v>4</v>
      </c>
      <c r="B4" s="10"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10</vt:i4>
      </vt:variant>
    </vt:vector>
  </HeadingPairs>
  <TitlesOfParts>
    <vt:vector size="10" baseType="lpstr">
      <vt:lpstr>Indice</vt:lpstr>
      <vt:lpstr>Parameters</vt:lpstr>
      <vt:lpstr>Data</vt:lpstr>
      <vt:lpstr>Sample_filter</vt:lpstr>
      <vt:lpstr>Sample_if</vt:lpstr>
      <vt:lpstr>Statistical Insight</vt:lpstr>
      <vt:lpstr>(Un)correlated Variables</vt:lpstr>
      <vt:lpstr>Linear Regression</vt:lpstr>
      <vt:lpstr>Note di utilizzo</vt:lpstr>
      <vt:lpstr>Annotazioni statistiche</vt:lpstr>
    </vt:vector>
  </TitlesOfParts>
  <Company>Centro Istruttorie S.p.A.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 Cadau</dc:creator>
  <cp:lastModifiedBy>Marco Cadau</cp:lastModifiedBy>
  <dcterms:created xsi:type="dcterms:W3CDTF">2025-12-04T14:12:22Z</dcterms:created>
  <dcterms:modified xsi:type="dcterms:W3CDTF">2026-02-10T13:23:45Z</dcterms:modified>
</cp:coreProperties>
</file>